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risara\Desktop\Workshop AI\BOOKING\"/>
    </mc:Choice>
  </mc:AlternateContent>
  <xr:revisionPtr revIDLastSave="0" documentId="8_{21ECA755-70B2-4C6D-8215-247F61F6D1E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Master BSA" sheetId="2" r:id="rId1"/>
    <sheet name="Weekly Summary by Lane" sheetId="3" r:id="rId2"/>
    <sheet name="POD - VNSGN" sheetId="4" r:id="rId3"/>
    <sheet name="POD - HKG,CNXMN,CNSHK,TWKEL" sheetId="5" r:id="rId4"/>
    <sheet name="POD - CNSHA" sheetId="6" r:id="rId5"/>
    <sheet name="POD - IDJKT" sheetId="7" r:id="rId6"/>
    <sheet name="POD - TOTAL,KR,JP,RU" sheetId="8" r:id="rId7"/>
    <sheet name="Reefer" sheetId="10" r:id="rId8"/>
  </sheets>
  <definedNames>
    <definedName name="_xlnm._FilterDatabase" localSheetId="4" hidden="1">'POD - CNSHA'!$A$4:$K$8</definedName>
    <definedName name="_xlnm._FilterDatabase" localSheetId="3" hidden="1">'POD - HKG,CNXMN,CNSHK,TWKEL'!$A$4:$T$17</definedName>
    <definedName name="_xlnm._FilterDatabase" localSheetId="5" hidden="1">'POD - IDJKT'!$A$4:$K$8</definedName>
    <definedName name="_xlnm._FilterDatabase" localSheetId="6" hidden="1">'POD - TOTAL,KR,JP,RU'!$A$4:$T$34</definedName>
    <definedName name="_xlnm._FilterDatabase" localSheetId="2" hidden="1">'POD - VNSGN'!$A$4:$K$17</definedName>
    <definedName name="_xlnm._FilterDatabase" localSheetId="7" hidden="1">Reefer!$A$4:$O$7</definedName>
    <definedName name="_xlnm._FilterDatabase" localSheetId="1" hidden="1">'Weekly Summary by Lane'!$A$5:$AD$38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10" l="1"/>
  <c r="D6" i="10"/>
  <c r="D5" i="10"/>
  <c r="M14" i="2"/>
  <c r="L14" i="2"/>
  <c r="K14" i="2"/>
  <c r="J14" i="2"/>
  <c r="I14" i="2"/>
  <c r="H14" i="2"/>
  <c r="G14" i="2"/>
  <c r="F14" i="2"/>
  <c r="E14" i="2"/>
  <c r="D14" i="2"/>
  <c r="C14" i="2"/>
  <c r="C13" i="2"/>
  <c r="C12" i="2"/>
  <c r="C11" i="2"/>
  <c r="C10" i="2"/>
  <c r="C9" i="2"/>
  <c r="C8" i="2"/>
  <c r="C7" i="2"/>
  <c r="C6" i="2"/>
  <c r="C5" i="2"/>
  <c r="I9" i="7" l="1"/>
  <c r="I9" i="6"/>
  <c r="I18" i="4"/>
  <c r="T6" i="8"/>
  <c r="T12" i="8"/>
  <c r="T14" i="8"/>
  <c r="T9" i="8"/>
  <c r="T25" i="8"/>
  <c r="T5" i="8"/>
  <c r="T24" i="8"/>
  <c r="T33" i="8"/>
  <c r="T31" i="8"/>
  <c r="T18" i="8"/>
  <c r="T15" i="8"/>
  <c r="T8" i="8"/>
  <c r="T20" i="8"/>
  <c r="T11" i="8"/>
  <c r="T29" i="8"/>
  <c r="L8" i="10"/>
  <c r="T28" i="8"/>
  <c r="T22" i="8"/>
  <c r="T21" i="8"/>
  <c r="T26" i="8"/>
  <c r="E8" i="10"/>
  <c r="T13" i="8"/>
  <c r="T17" i="8"/>
  <c r="G9" i="7"/>
  <c r="T19" i="8"/>
  <c r="T10" i="8"/>
  <c r="T30" i="8"/>
  <c r="T27" i="8"/>
  <c r="L34" i="8"/>
  <c r="T16" i="8"/>
  <c r="R34" i="8"/>
  <c r="O34" i="8"/>
  <c r="L17" i="5"/>
  <c r="R17" i="5"/>
  <c r="O17" i="5"/>
  <c r="I17" i="5"/>
  <c r="T23" i="8"/>
  <c r="G18" i="4"/>
  <c r="G39" i="3"/>
  <c r="G17" i="5"/>
  <c r="G9" i="6"/>
  <c r="G34" i="8"/>
  <c r="T32" i="8"/>
  <c r="F8" i="10" l="1"/>
  <c r="P17" i="5"/>
  <c r="H8" i="10"/>
  <c r="I8" i="10"/>
  <c r="K8" i="10"/>
  <c r="T39" i="3"/>
  <c r="P39" i="3"/>
  <c r="L39" i="3"/>
  <c r="S34" i="8"/>
  <c r="Z39" i="3"/>
  <c r="J9" i="7"/>
  <c r="S17" i="5"/>
  <c r="V39" i="3"/>
  <c r="N39" i="3"/>
  <c r="G8" i="10"/>
  <c r="R39" i="3"/>
  <c r="J8" i="10"/>
  <c r="M8" i="10"/>
  <c r="J9" i="6"/>
  <c r="M34" i="8"/>
  <c r="J18" i="4"/>
  <c r="AD39" i="3"/>
  <c r="N8" i="10"/>
  <c r="O8" i="10"/>
  <c r="AB39" i="3"/>
  <c r="J17" i="5"/>
  <c r="P34" i="8"/>
  <c r="T7" i="8"/>
  <c r="J39" i="3"/>
  <c r="M17" i="5"/>
  <c r="I34" i="8"/>
  <c r="X39" i="3" l="1"/>
  <c r="J3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X5" authorId="0" shapeId="0" xr:uid="{00000000-0006-0000-0200-000003000000}">
      <text>
        <r>
          <rPr>
            <sz val="10"/>
            <rFont val="Arial"/>
            <family val="2"/>
          </rPr>
          <t>Sum of the 10 named POD groups only. A small number of bookings go to POD codes outside these groups (see Notes &amp; Assumptions), so TTL can run marginally below LIFTING.</t>
        </r>
      </text>
    </comment>
    <comment ref="C6" authorId="0" shapeId="0" xr:uid="{00000000-0006-0000-0200-000001000000}">
      <text>
        <r>
          <rPr>
            <sz val="10"/>
            <rFont val="Arial"/>
            <family val="2"/>
          </rPr>
          <t>Combined "VSL VYG" text (single space between). Formulas in this row parse it back apart with LEFT/MID/FIND to match Raw Data — keep the single-space format if you edit this cell. A sailing that loads across two dates (even across a week boundary) is combined into this one row; Week/ETD shown = the later date.</t>
        </r>
      </text>
    </comment>
    <comment ref="F6" authorId="0" shapeId="0" xr:uid="{00000000-0006-0000-0200-000002000000}">
      <text>
        <r>
          <rPr>
            <sz val="10"/>
            <rFont val="Arial"/>
            <family val="2"/>
          </rPr>
          <t>Defaults to BSA. Type a number here to override with the carrier-confirmed allocation for this specific sailing, if it differs from the standing BSA target.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900-000001000000}">
      <text>
        <r>
          <rPr>
            <sz val="10"/>
            <rFont val="Arial"/>
            <family val="2"/>
          </rPr>
          <t>Combined "VSL VYG" text (single space). Formulas parse it back apart with LEFT/MID/FIND to match Raw Data.</t>
        </r>
      </text>
    </comment>
  </commentList>
</comments>
</file>

<file path=xl/sharedStrings.xml><?xml version="1.0" encoding="utf-8"?>
<sst xmlns="http://schemas.openxmlformats.org/spreadsheetml/2006/main" count="220" uniqueCount="110">
  <si>
    <t>Week</t>
  </si>
  <si>
    <t>SVC</t>
  </si>
  <si>
    <t>VSL / VYG</t>
  </si>
  <si>
    <t>ETD</t>
  </si>
  <si>
    <t>ALLO</t>
  </si>
  <si>
    <t>Week 39</t>
  </si>
  <si>
    <t>Week 40</t>
  </si>
  <si>
    <t>Week 38</t>
  </si>
  <si>
    <t>Week 36</t>
  </si>
  <si>
    <t>PCI2</t>
  </si>
  <si>
    <t>KHS1</t>
  </si>
  <si>
    <t>VTS</t>
  </si>
  <si>
    <t>CHT</t>
  </si>
  <si>
    <t>BTS</t>
  </si>
  <si>
    <t>ANX</t>
  </si>
  <si>
    <t>KST</t>
  </si>
  <si>
    <t>KTS1</t>
  </si>
  <si>
    <t>Master BSA Reference — weekly quota by lane and by destination (POD) group</t>
  </si>
  <si>
    <t>SVC (raw code)</t>
  </si>
  <si>
    <t>LANE (BSA group)</t>
  </si>
  <si>
    <t>BSA TOTAL</t>
  </si>
  <si>
    <t>BSA_VNSGN</t>
  </si>
  <si>
    <t>BSA_HKHKG</t>
  </si>
  <si>
    <t>BSA_CNXMN</t>
  </si>
  <si>
    <t>BSA_CNSHK</t>
  </si>
  <si>
    <t>BSA_TWKEL</t>
  </si>
  <si>
    <t>BSA_KR</t>
  </si>
  <si>
    <t>BSA_JP</t>
  </si>
  <si>
    <t>BSA_RU</t>
  </si>
  <si>
    <t>BSA_IDJKT</t>
  </si>
  <si>
    <t>BSA_CNSHA</t>
  </si>
  <si>
    <t>NTX</t>
  </si>
  <si>
    <t>PCI</t>
  </si>
  <si>
    <t>TOTAL</t>
  </si>
  <si>
    <t>September 2026 — Weekly Summary by Lane (same layout as the Week sheets, all weeks stacked)</t>
  </si>
  <si>
    <t>ALLO defaults to the BSA target (Master BSA sheet) — overwrite with the carrier-confirmed allocation for a sailing if it differs.</t>
  </si>
  <si>
    <t>VNSGN</t>
  </si>
  <si>
    <t>HKHKG</t>
  </si>
  <si>
    <t>CNSHK</t>
  </si>
  <si>
    <t>CNXMN</t>
  </si>
  <si>
    <t>TWKEL</t>
  </si>
  <si>
    <t>CNSHA</t>
  </si>
  <si>
    <t>IDJKT</t>
  </si>
  <si>
    <t>KR</t>
  </si>
  <si>
    <t>JP</t>
  </si>
  <si>
    <t>RU</t>
  </si>
  <si>
    <t>DISC</t>
  </si>
  <si>
    <t>TTL</t>
  </si>
  <si>
    <t>TEU</t>
  </si>
  <si>
    <t>KXM 2607S</t>
  </si>
  <si>
    <t>KMGY 2609N</t>
  </si>
  <si>
    <t>KUS 2614N</t>
  </si>
  <si>
    <t>Week 37</t>
  </si>
  <si>
    <t>TOTAL (all weeks)</t>
  </si>
  <si>
    <t>September 2026 — POD Breakdown: VNSGN</t>
  </si>
  <si>
    <t>All weeks stacked. ALLO defaults to the BSA target (Master BSA sheet); % = Actual / ALLO for that POD.</t>
  </si>
  <si>
    <t>BSA</t>
  </si>
  <si>
    <t>LIFTING</t>
  </si>
  <si>
    <t>%</t>
  </si>
  <si>
    <t>VNSGN ALLO</t>
  </si>
  <si>
    <t>VNSGN Actual</t>
  </si>
  <si>
    <t>VNSGN %</t>
  </si>
  <si>
    <t>September 2026 — POD Breakdown: HKHKG, CNXMN, CNSHK, TWKEL</t>
  </si>
  <si>
    <t>HKHKG ALLO</t>
  </si>
  <si>
    <t>HKHKG Actual</t>
  </si>
  <si>
    <t>HKHKG %</t>
  </si>
  <si>
    <t>CNXMN ALLO</t>
  </si>
  <si>
    <t>CNXMN Actual</t>
  </si>
  <si>
    <t>CNXMN %</t>
  </si>
  <si>
    <t>CNSHK ALLO</t>
  </si>
  <si>
    <t>CNSHK Actual</t>
  </si>
  <si>
    <t>CNSHK %</t>
  </si>
  <si>
    <t>TWKEL ALLO</t>
  </si>
  <si>
    <t>TWKEL Actual</t>
  </si>
  <si>
    <t>TWKEL %</t>
  </si>
  <si>
    <t>September 2026 — POD Breakdown: CNSHA</t>
  </si>
  <si>
    <t>CNSHA ALLO</t>
  </si>
  <si>
    <t>CNSHA Actual</t>
  </si>
  <si>
    <t>CNSHA %</t>
  </si>
  <si>
    <t>September 2026 — POD Breakdown: IDJKT</t>
  </si>
  <si>
    <t>IDJKT ALLO</t>
  </si>
  <si>
    <t>IDJKT Actual</t>
  </si>
  <si>
    <t>IDJKT %</t>
  </si>
  <si>
    <t>September 2026 — POD Breakdown: TOTAL, KR, JP, RU</t>
  </si>
  <si>
    <t>TOTAL ALLO</t>
  </si>
  <si>
    <t>TOTAL Actual</t>
  </si>
  <si>
    <t>TOTAL %</t>
  </si>
  <si>
    <t>KR ALLO</t>
  </si>
  <si>
    <t>KR Actual</t>
  </si>
  <si>
    <t>KR %</t>
  </si>
  <si>
    <t>JP ALLO</t>
  </si>
  <si>
    <t>JP Actual</t>
  </si>
  <si>
    <t>JP %</t>
  </si>
  <si>
    <t>RU ALLO</t>
  </si>
  <si>
    <t>RU Actual</t>
  </si>
  <si>
    <t>RU %</t>
  </si>
  <si>
    <t>September 2026 — Reefer (Plug) Bookings by Sailing and POD</t>
  </si>
  <si>
    <t>Every sailing that carries at least one reefer container, with the reefer count broken out by destination POD group. "Plug" = reefer container count parsed from RFCNT.</t>
  </si>
  <si>
    <t>Total Reefer Qty</t>
  </si>
  <si>
    <t>VNSGN Reefer Qty</t>
  </si>
  <si>
    <t>HKHKG Reefer Qty</t>
  </si>
  <si>
    <t>CNXMN Reefer Qty</t>
  </si>
  <si>
    <t>CNSHK Reefer Qty</t>
  </si>
  <si>
    <t>TWKEL Reefer Qty</t>
  </si>
  <si>
    <t>KR Reefer Qty</t>
  </si>
  <si>
    <t>JP Reefer Qty</t>
  </si>
  <si>
    <t>RU Reefer Qty</t>
  </si>
  <si>
    <t>IDJKT Reefer Qty</t>
  </si>
  <si>
    <t>CNSHA Reefer Qty</t>
  </si>
  <si>
    <t>USED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</si>
</sst>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%"/>
    <numFmt numFmtId="188" formatCode="yyyy\-mm\-dd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808080"/>
      <name val="Arial"/>
      <family val="2"/>
    </font>
    <font>
      <b/>
      <sz val="13"/>
      <name val="Arial"/>
      <family val="2"/>
    </font>
    <font>
      <sz val="10"/>
      <color rgb="FF0000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808000"/>
      </patternFill>
    </fill>
    <fill>
      <patternFill patternType="solid">
        <fgColor rgb="FFBF8F00"/>
        <bgColor rgb="FF8080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7F7F7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7F7F7"/>
      </patternFill>
    </fill>
    <fill>
      <patternFill patternType="solid">
        <fgColor rgb="FF7030A0"/>
        <bgColor rgb="FF993366"/>
      </patternFill>
    </fill>
    <fill>
      <patternFill patternType="solid">
        <fgColor rgb="FFF8CBAD"/>
        <bgColor rgb="FFFFC7CE"/>
      </patternFill>
    </fill>
    <fill>
      <patternFill patternType="solid">
        <fgColor rgb="FFFF0000"/>
        <bgColor rgb="FFF7F7F7"/>
      </patternFill>
    </fill>
  </fills>
  <borders count="4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 style="medium">
        <color indexed="64"/>
      </bottom>
      <diagonal/>
    </border>
    <border>
      <left style="thin">
        <color rgb="FFBFBFBF"/>
      </left>
      <right/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0" tint="-0.14996795556505021"/>
      </left>
      <right style="thin">
        <color rgb="FFBFBFBF"/>
      </right>
      <top style="medium">
        <color theme="0" tint="-0.14996795556505021"/>
      </top>
      <bottom/>
      <diagonal/>
    </border>
    <border>
      <left style="thin">
        <color rgb="FFBFBFBF"/>
      </left>
      <right style="thin">
        <color rgb="FFBFBFBF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theme="0" tint="-0.14996795556505021"/>
      </right>
      <top style="thin">
        <color rgb="FFBFBFBF"/>
      </top>
      <bottom/>
      <diagonal/>
    </border>
    <border>
      <left style="thin">
        <color rgb="FFBFBFBF"/>
      </left>
      <right style="medium">
        <color theme="0" tint="-0.14996795556505021"/>
      </right>
      <top/>
      <bottom style="thin">
        <color rgb="FFBFBFBF"/>
      </bottom>
      <diagonal/>
    </border>
    <border>
      <left style="thin">
        <color rgb="FFBFBFBF"/>
      </left>
      <right/>
      <top style="medium">
        <color theme="0" tint="-0.1499679555650502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4" fillId="6" borderId="1" xfId="0" applyFont="1" applyFill="1" applyBorder="1"/>
    <xf numFmtId="188" fontId="4" fillId="6" borderId="1" xfId="0" applyNumberFormat="1" applyFont="1" applyFill="1" applyBorder="1"/>
    <xf numFmtId="3" fontId="4" fillId="6" borderId="1" xfId="0" applyNumberFormat="1" applyFont="1" applyFill="1" applyBorder="1"/>
    <xf numFmtId="0" fontId="4" fillId="8" borderId="1" xfId="0" applyFont="1" applyFill="1" applyBorder="1"/>
    <xf numFmtId="188" fontId="4" fillId="8" borderId="1" xfId="0" applyNumberFormat="1" applyFont="1" applyFill="1" applyBorder="1"/>
    <xf numFmtId="3" fontId="3" fillId="0" borderId="0" xfId="0" applyNumberFormat="1" applyFont="1"/>
    <xf numFmtId="0" fontId="2" fillId="5" borderId="1" xfId="0" applyFont="1" applyFill="1" applyBorder="1" applyAlignment="1">
      <alignment horizontal="center" vertical="center" wrapText="1"/>
    </xf>
    <xf numFmtId="3" fontId="3" fillId="10" borderId="1" xfId="0" applyNumberFormat="1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4" fillId="6" borderId="6" xfId="0" applyFont="1" applyFill="1" applyBorder="1"/>
    <xf numFmtId="188" fontId="4" fillId="6" borderId="6" xfId="0" applyNumberFormat="1" applyFont="1" applyFill="1" applyBorder="1"/>
    <xf numFmtId="187" fontId="4" fillId="6" borderId="7" xfId="0" applyNumberFormat="1" applyFont="1" applyFill="1" applyBorder="1"/>
    <xf numFmtId="0" fontId="4" fillId="6" borderId="9" xfId="0" applyFont="1" applyFill="1" applyBorder="1"/>
    <xf numFmtId="188" fontId="4" fillId="6" borderId="9" xfId="0" applyNumberFormat="1" applyFont="1" applyFill="1" applyBorder="1"/>
    <xf numFmtId="187" fontId="4" fillId="6" borderId="10" xfId="0" applyNumberFormat="1" applyFont="1" applyFill="1" applyBorder="1"/>
    <xf numFmtId="0" fontId="4" fillId="8" borderId="6" xfId="0" applyFont="1" applyFill="1" applyBorder="1"/>
    <xf numFmtId="187" fontId="4" fillId="8" borderId="7" xfId="0" applyNumberFormat="1" applyFont="1" applyFill="1" applyBorder="1"/>
    <xf numFmtId="187" fontId="4" fillId="8" borderId="12" xfId="0" applyNumberFormat="1" applyFont="1" applyFill="1" applyBorder="1"/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/>
    <xf numFmtId="187" fontId="4" fillId="8" borderId="10" xfId="0" applyNumberFormat="1" applyFont="1" applyFill="1" applyBorder="1"/>
    <xf numFmtId="187" fontId="4" fillId="6" borderId="12" xfId="0" applyNumberFormat="1" applyFont="1" applyFill="1" applyBorder="1"/>
    <xf numFmtId="0" fontId="0" fillId="0" borderId="0" xfId="0" applyAlignment="1">
      <alignment horizontal="center"/>
    </xf>
    <xf numFmtId="3" fontId="4" fillId="6" borderId="6" xfId="0" applyNumberFormat="1" applyFont="1" applyFill="1" applyBorder="1" applyAlignment="1">
      <alignment horizontal="center"/>
    </xf>
    <xf numFmtId="3" fontId="4" fillId="7" borderId="6" xfId="0" applyNumberFormat="1" applyFont="1" applyFill="1" applyBorder="1" applyAlignment="1">
      <alignment horizontal="center"/>
    </xf>
    <xf numFmtId="3" fontId="4" fillId="6" borderId="9" xfId="0" applyNumberFormat="1" applyFont="1" applyFill="1" applyBorder="1" applyAlignment="1">
      <alignment horizontal="center"/>
    </xf>
    <xf numFmtId="3" fontId="4" fillId="7" borderId="9" xfId="0" applyNumberFormat="1" applyFont="1" applyFill="1" applyBorder="1" applyAlignment="1">
      <alignment horizontal="center"/>
    </xf>
    <xf numFmtId="3" fontId="4" fillId="8" borderId="6" xfId="0" applyNumberFormat="1" applyFont="1" applyFill="1" applyBorder="1" applyAlignment="1">
      <alignment horizontal="center"/>
    </xf>
    <xf numFmtId="3" fontId="4" fillId="8" borderId="1" xfId="0" applyNumberFormat="1" applyFont="1" applyFill="1" applyBorder="1" applyAlignment="1">
      <alignment horizontal="center"/>
    </xf>
    <xf numFmtId="3" fontId="4" fillId="7" borderId="1" xfId="0" applyNumberFormat="1" applyFont="1" applyFill="1" applyBorder="1" applyAlignment="1">
      <alignment horizontal="center"/>
    </xf>
    <xf numFmtId="3" fontId="4" fillId="8" borderId="9" xfId="0" applyNumberFormat="1" applyFont="1" applyFill="1" applyBorder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188" fontId="4" fillId="6" borderId="14" xfId="0" applyNumberFormat="1" applyFont="1" applyFill="1" applyBorder="1"/>
    <xf numFmtId="188" fontId="4" fillId="6" borderId="15" xfId="0" applyNumberFormat="1" applyFont="1" applyFill="1" applyBorder="1"/>
    <xf numFmtId="188" fontId="4" fillId="8" borderId="14" xfId="0" applyNumberFormat="1" applyFont="1" applyFill="1" applyBorder="1"/>
    <xf numFmtId="188" fontId="4" fillId="8" borderId="16" xfId="0" applyNumberFormat="1" applyFont="1" applyFill="1" applyBorder="1"/>
    <xf numFmtId="188" fontId="4" fillId="8" borderId="15" xfId="0" applyNumberFormat="1" applyFont="1" applyFill="1" applyBorder="1"/>
    <xf numFmtId="188" fontId="4" fillId="6" borderId="16" xfId="0" applyNumberFormat="1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3" fontId="4" fillId="6" borderId="19" xfId="0" applyNumberFormat="1" applyFont="1" applyFill="1" applyBorder="1" applyAlignment="1">
      <alignment horizontal="center"/>
    </xf>
    <xf numFmtId="187" fontId="4" fillId="0" borderId="7" xfId="0" applyNumberFormat="1" applyFont="1" applyBorder="1"/>
    <xf numFmtId="3" fontId="4" fillId="6" borderId="20" xfId="0" applyNumberFormat="1" applyFont="1" applyFill="1" applyBorder="1" applyAlignment="1">
      <alignment horizontal="center"/>
    </xf>
    <xf numFmtId="187" fontId="4" fillId="0" borderId="10" xfId="0" applyNumberFormat="1" applyFont="1" applyBorder="1"/>
    <xf numFmtId="3" fontId="4" fillId="8" borderId="19" xfId="0" applyNumberFormat="1" applyFont="1" applyFill="1" applyBorder="1" applyAlignment="1">
      <alignment horizontal="center"/>
    </xf>
    <xf numFmtId="3" fontId="4" fillId="8" borderId="21" xfId="0" applyNumberFormat="1" applyFont="1" applyFill="1" applyBorder="1" applyAlignment="1">
      <alignment horizontal="center"/>
    </xf>
    <xf numFmtId="187" fontId="4" fillId="0" borderId="12" xfId="0" applyNumberFormat="1" applyFont="1" applyBorder="1"/>
    <xf numFmtId="3" fontId="4" fillId="8" borderId="20" xfId="0" applyNumberFormat="1" applyFont="1" applyFill="1" applyBorder="1" applyAlignment="1">
      <alignment horizontal="center"/>
    </xf>
    <xf numFmtId="3" fontId="4" fillId="6" borderId="21" xfId="0" applyNumberFormat="1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4" fillId="8" borderId="22" xfId="0" applyFont="1" applyFill="1" applyBorder="1"/>
    <xf numFmtId="188" fontId="4" fillId="8" borderId="22" xfId="0" applyNumberFormat="1" applyFont="1" applyFill="1" applyBorder="1"/>
    <xf numFmtId="187" fontId="4" fillId="8" borderId="23" xfId="0" applyNumberFormat="1" applyFont="1" applyFill="1" applyBorder="1"/>
    <xf numFmtId="0" fontId="4" fillId="6" borderId="24" xfId="0" applyFont="1" applyFill="1" applyBorder="1" applyAlignment="1">
      <alignment horizontal="center"/>
    </xf>
    <xf numFmtId="0" fontId="4" fillId="6" borderId="25" xfId="0" applyFont="1" applyFill="1" applyBorder="1"/>
    <xf numFmtId="188" fontId="4" fillId="6" borderId="25" xfId="0" applyNumberFormat="1" applyFont="1" applyFill="1" applyBorder="1"/>
    <xf numFmtId="3" fontId="4" fillId="6" borderId="25" xfId="0" applyNumberFormat="1" applyFont="1" applyFill="1" applyBorder="1"/>
    <xf numFmtId="3" fontId="4" fillId="7" borderId="25" xfId="0" applyNumberFormat="1" applyFont="1" applyFill="1" applyBorder="1"/>
    <xf numFmtId="187" fontId="4" fillId="6" borderId="26" xfId="0" applyNumberFormat="1" applyFont="1" applyFill="1" applyBorder="1"/>
    <xf numFmtId="187" fontId="4" fillId="0" borderId="14" xfId="0" applyNumberFormat="1" applyFont="1" applyBorder="1"/>
    <xf numFmtId="187" fontId="4" fillId="0" borderId="15" xfId="0" applyNumberFormat="1" applyFont="1" applyBorder="1"/>
    <xf numFmtId="187" fontId="4" fillId="0" borderId="27" xfId="0" applyNumberFormat="1" applyFont="1" applyBorder="1"/>
    <xf numFmtId="187" fontId="4" fillId="0" borderId="28" xfId="0" applyNumberFormat="1" applyFont="1" applyBorder="1"/>
    <xf numFmtId="0" fontId="4" fillId="6" borderId="24" xfId="0" applyFont="1" applyFill="1" applyBorder="1"/>
    <xf numFmtId="0" fontId="4" fillId="8" borderId="24" xfId="0" applyFont="1" applyFill="1" applyBorder="1"/>
    <xf numFmtId="0" fontId="4" fillId="8" borderId="25" xfId="0" applyFont="1" applyFill="1" applyBorder="1"/>
    <xf numFmtId="188" fontId="4" fillId="8" borderId="25" xfId="0" applyNumberFormat="1" applyFont="1" applyFill="1" applyBorder="1"/>
    <xf numFmtId="3" fontId="4" fillId="8" borderId="25" xfId="0" applyNumberFormat="1" applyFont="1" applyFill="1" applyBorder="1"/>
    <xf numFmtId="187" fontId="4" fillId="8" borderId="26" xfId="0" applyNumberFormat="1" applyFont="1" applyFill="1" applyBorder="1"/>
    <xf numFmtId="3" fontId="4" fillId="8" borderId="8" xfId="0" applyNumberFormat="1" applyFont="1" applyFill="1" applyBorder="1" applyAlignment="1">
      <alignment horizontal="center"/>
    </xf>
    <xf numFmtId="3" fontId="4" fillId="8" borderId="22" xfId="0" applyNumberFormat="1" applyFont="1" applyFill="1" applyBorder="1" applyAlignment="1">
      <alignment horizontal="center"/>
    </xf>
    <xf numFmtId="3" fontId="4" fillId="6" borderId="24" xfId="0" applyNumberFormat="1" applyFont="1" applyFill="1" applyBorder="1" applyAlignment="1">
      <alignment horizontal="center"/>
    </xf>
    <xf numFmtId="3" fontId="4" fillId="6" borderId="25" xfId="0" applyNumberFormat="1" applyFont="1" applyFill="1" applyBorder="1" applyAlignment="1">
      <alignment horizontal="center"/>
    </xf>
    <xf numFmtId="3" fontId="4" fillId="7" borderId="22" xfId="0" applyNumberFormat="1" applyFont="1" applyFill="1" applyBorder="1" applyAlignment="1">
      <alignment horizontal="center"/>
    </xf>
    <xf numFmtId="3" fontId="4" fillId="7" borderId="25" xfId="0" applyNumberFormat="1" applyFont="1" applyFill="1" applyBorder="1" applyAlignment="1">
      <alignment horizontal="center"/>
    </xf>
    <xf numFmtId="3" fontId="4" fillId="8" borderId="24" xfId="0" applyNumberFormat="1" applyFont="1" applyFill="1" applyBorder="1" applyAlignment="1">
      <alignment horizontal="center"/>
    </xf>
    <xf numFmtId="3" fontId="4" fillId="8" borderId="25" xfId="0" applyNumberFormat="1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3" fontId="4" fillId="6" borderId="12" xfId="0" applyNumberFormat="1" applyFont="1" applyFill="1" applyBorder="1" applyAlignment="1">
      <alignment horizontal="center"/>
    </xf>
    <xf numFmtId="3" fontId="4" fillId="8" borderId="12" xfId="0" applyNumberFormat="1" applyFont="1" applyFill="1" applyBorder="1" applyAlignment="1">
      <alignment horizontal="center"/>
    </xf>
    <xf numFmtId="3" fontId="4" fillId="6" borderId="10" xfId="0" applyNumberFormat="1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3" fontId="4" fillId="0" borderId="16" xfId="0" applyNumberFormat="1" applyFont="1" applyBorder="1" applyAlignment="1">
      <alignment horizontal="center"/>
    </xf>
    <xf numFmtId="3" fontId="4" fillId="11" borderId="21" xfId="0" applyNumberFormat="1" applyFont="1" applyFill="1" applyBorder="1" applyAlignment="1">
      <alignment horizontal="center"/>
    </xf>
    <xf numFmtId="3" fontId="4" fillId="11" borderId="1" xfId="0" applyNumberFormat="1" applyFont="1" applyFill="1" applyBorder="1" applyAlignment="1">
      <alignment horizontal="center"/>
    </xf>
    <xf numFmtId="3" fontId="4" fillId="11" borderId="20" xfId="0" applyNumberFormat="1" applyFont="1" applyFill="1" applyBorder="1" applyAlignment="1">
      <alignment horizontal="center"/>
    </xf>
    <xf numFmtId="3" fontId="4" fillId="11" borderId="9" xfId="0" applyNumberFormat="1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5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E78"/>
      </font>
      <fill>
        <patternFill>
          <bgColor rgb="FFBDD7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7F7F7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D9D9D9"/>
      <rgbColor rgb="FFFFC7CE"/>
      <rgbColor rgb="FFCC99FF"/>
      <rgbColor rgb="FFF8CBAD"/>
      <rgbColor rgb="FF2E75B6"/>
      <rgbColor rgb="FF33CCCC"/>
      <rgbColor rgb="FF99CC00"/>
      <rgbColor rgb="FFFFCC00"/>
      <rgbColor rgb="FFBF8F00"/>
      <rgbColor rgb="FFFF6600"/>
      <rgbColor rgb="FF666699"/>
      <rgbColor rgb="FFB3B3B3"/>
      <rgbColor rgb="FF003366"/>
      <rgbColor rgb="FF548235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showGridLines="0" tabSelected="1" zoomScaleNormal="100" workbookViewId="0">
      <selection activeCell="H29" sqref="H29"/>
    </sheetView>
  </sheetViews>
  <sheetFormatPr defaultColWidth="8.6640625" defaultRowHeight="14.4" x14ac:dyDescent="0.3"/>
  <cols>
    <col min="1" max="1" width="12" customWidth="1"/>
    <col min="2" max="2" width="10" customWidth="1"/>
    <col min="3" max="13" width="12" customWidth="1"/>
  </cols>
  <sheetData>
    <row r="1" spans="1:13" ht="15.75" customHeight="1" x14ac:dyDescent="0.3">
      <c r="A1" s="3" t="s">
        <v>17</v>
      </c>
    </row>
    <row r="2" spans="1:13" ht="15" customHeight="1" x14ac:dyDescent="0.3">
      <c r="A2" s="2"/>
    </row>
    <row r="4" spans="1:13" ht="34.5" customHeight="1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30</v>
      </c>
    </row>
    <row r="5" spans="1:13" ht="15" customHeight="1" x14ac:dyDescent="0.3">
      <c r="A5" s="4" t="s">
        <v>13</v>
      </c>
      <c r="B5" s="4" t="s">
        <v>13</v>
      </c>
      <c r="C5" s="5">
        <f t="shared" ref="C5:C13" si="0">SUM(D5:M5)</f>
        <v>567</v>
      </c>
      <c r="D5" s="4">
        <v>312</v>
      </c>
      <c r="E5" s="4">
        <v>0</v>
      </c>
      <c r="F5" s="4">
        <v>0</v>
      </c>
      <c r="G5" s="4">
        <v>0</v>
      </c>
      <c r="H5" s="4">
        <v>0</v>
      </c>
      <c r="I5" s="4">
        <v>154</v>
      </c>
      <c r="J5" s="4">
        <v>85</v>
      </c>
      <c r="K5" s="4">
        <v>16</v>
      </c>
      <c r="L5" s="4">
        <v>0</v>
      </c>
      <c r="M5" s="4">
        <v>0</v>
      </c>
    </row>
    <row r="6" spans="1:13" ht="15" customHeight="1" x14ac:dyDescent="0.3">
      <c r="A6" s="4" t="s">
        <v>12</v>
      </c>
      <c r="B6" s="4" t="s">
        <v>12</v>
      </c>
      <c r="C6" s="5">
        <f t="shared" si="0"/>
        <v>200</v>
      </c>
      <c r="D6" s="4">
        <v>0</v>
      </c>
      <c r="E6" s="4">
        <v>120</v>
      </c>
      <c r="F6" s="4">
        <v>45</v>
      </c>
      <c r="G6" s="4">
        <v>0</v>
      </c>
      <c r="H6" s="4">
        <v>0</v>
      </c>
      <c r="I6" s="4">
        <v>35</v>
      </c>
      <c r="J6" s="4">
        <v>0</v>
      </c>
      <c r="K6" s="4">
        <v>0</v>
      </c>
      <c r="L6" s="4">
        <v>0</v>
      </c>
      <c r="M6" s="4">
        <v>0</v>
      </c>
    </row>
    <row r="7" spans="1:13" ht="15" customHeight="1" x14ac:dyDescent="0.3">
      <c r="A7" s="4" t="s">
        <v>10</v>
      </c>
      <c r="B7" s="4" t="s">
        <v>10</v>
      </c>
      <c r="C7" s="5">
        <f t="shared" si="0"/>
        <v>350</v>
      </c>
      <c r="D7" s="4">
        <v>192</v>
      </c>
      <c r="E7" s="4">
        <v>0</v>
      </c>
      <c r="F7" s="4">
        <v>0</v>
      </c>
      <c r="G7" s="4">
        <v>0</v>
      </c>
      <c r="H7" s="4">
        <v>0</v>
      </c>
      <c r="I7" s="4">
        <v>85</v>
      </c>
      <c r="J7" s="4">
        <v>59</v>
      </c>
      <c r="K7" s="4">
        <v>14</v>
      </c>
      <c r="L7" s="4">
        <v>0</v>
      </c>
      <c r="M7" s="4">
        <v>0</v>
      </c>
    </row>
    <row r="8" spans="1:13" ht="15" customHeight="1" x14ac:dyDescent="0.3">
      <c r="A8" s="4" t="s">
        <v>16</v>
      </c>
      <c r="B8" s="4" t="s">
        <v>16</v>
      </c>
      <c r="C8" s="5">
        <f t="shared" si="0"/>
        <v>100</v>
      </c>
      <c r="D8" s="4">
        <v>0</v>
      </c>
      <c r="E8" s="4">
        <v>25</v>
      </c>
      <c r="F8" s="4">
        <v>0</v>
      </c>
      <c r="G8" s="4">
        <v>25</v>
      </c>
      <c r="H8" s="4">
        <v>30</v>
      </c>
      <c r="I8" s="4">
        <v>3</v>
      </c>
      <c r="J8" s="4">
        <v>10</v>
      </c>
      <c r="K8" s="4">
        <v>7</v>
      </c>
      <c r="L8" s="4">
        <v>0</v>
      </c>
      <c r="M8" s="4">
        <v>0</v>
      </c>
    </row>
    <row r="9" spans="1:13" ht="15" customHeight="1" x14ac:dyDescent="0.3">
      <c r="A9" s="4" t="s">
        <v>11</v>
      </c>
      <c r="B9" s="4" t="s">
        <v>11</v>
      </c>
      <c r="C9" s="5">
        <f t="shared" si="0"/>
        <v>100</v>
      </c>
      <c r="D9" s="4">
        <v>0</v>
      </c>
      <c r="E9" s="4">
        <v>50</v>
      </c>
      <c r="F9" s="4">
        <v>40</v>
      </c>
      <c r="G9" s="4">
        <v>0</v>
      </c>
      <c r="H9" s="4">
        <v>0</v>
      </c>
      <c r="I9" s="4">
        <v>0</v>
      </c>
      <c r="J9" s="4">
        <v>0</v>
      </c>
      <c r="K9" s="4">
        <v>10</v>
      </c>
      <c r="L9" s="4">
        <v>0</v>
      </c>
      <c r="M9" s="4">
        <v>0</v>
      </c>
    </row>
    <row r="10" spans="1:13" ht="15" customHeight="1" x14ac:dyDescent="0.3">
      <c r="A10" s="4" t="s">
        <v>31</v>
      </c>
      <c r="B10" s="4" t="s">
        <v>31</v>
      </c>
      <c r="C10" s="5">
        <f t="shared" si="0"/>
        <v>150</v>
      </c>
      <c r="D10" s="4">
        <v>85</v>
      </c>
      <c r="E10" s="4">
        <v>0</v>
      </c>
      <c r="F10" s="4">
        <v>0</v>
      </c>
      <c r="G10" s="4">
        <v>0</v>
      </c>
      <c r="H10" s="4">
        <v>0</v>
      </c>
      <c r="I10" s="4">
        <v>48</v>
      </c>
      <c r="J10" s="4">
        <v>10</v>
      </c>
      <c r="K10" s="4">
        <v>7</v>
      </c>
      <c r="L10" s="4">
        <v>0</v>
      </c>
      <c r="M10" s="4">
        <v>0</v>
      </c>
    </row>
    <row r="11" spans="1:13" ht="15" customHeight="1" x14ac:dyDescent="0.3">
      <c r="A11" s="4" t="s">
        <v>9</v>
      </c>
      <c r="B11" s="4" t="s">
        <v>32</v>
      </c>
      <c r="C11" s="5">
        <f t="shared" si="0"/>
        <v>273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15</v>
      </c>
      <c r="J11" s="4">
        <v>43</v>
      </c>
      <c r="K11" s="4">
        <v>7</v>
      </c>
      <c r="L11" s="4">
        <v>0</v>
      </c>
      <c r="M11" s="4">
        <v>208</v>
      </c>
    </row>
    <row r="12" spans="1:13" ht="15" customHeight="1" x14ac:dyDescent="0.3">
      <c r="A12" s="4" t="s">
        <v>15</v>
      </c>
      <c r="B12" s="4" t="s">
        <v>15</v>
      </c>
      <c r="C12" s="5">
        <f t="shared" si="0"/>
        <v>162</v>
      </c>
      <c r="D12" s="4">
        <v>90</v>
      </c>
      <c r="E12" s="4">
        <v>0</v>
      </c>
      <c r="F12" s="4">
        <v>0</v>
      </c>
      <c r="G12" s="4">
        <v>0</v>
      </c>
      <c r="H12" s="4">
        <v>0</v>
      </c>
      <c r="I12" s="4">
        <v>45</v>
      </c>
      <c r="J12" s="4">
        <v>20</v>
      </c>
      <c r="K12" s="4">
        <v>7</v>
      </c>
      <c r="L12" s="4">
        <v>0</v>
      </c>
      <c r="M12" s="4">
        <v>0</v>
      </c>
    </row>
    <row r="13" spans="1:13" ht="15" customHeight="1" x14ac:dyDescent="0.3">
      <c r="A13" s="4" t="s">
        <v>14</v>
      </c>
      <c r="B13" s="4" t="s">
        <v>14</v>
      </c>
      <c r="C13" s="5">
        <f t="shared" si="0"/>
        <v>40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40</v>
      </c>
      <c r="M13" s="4">
        <v>0</v>
      </c>
    </row>
    <row r="14" spans="1:13" ht="15" customHeight="1" x14ac:dyDescent="0.3">
      <c r="B14" s="6" t="s">
        <v>33</v>
      </c>
      <c r="C14" s="7">
        <f t="shared" ref="C14:M14" si="1">SUM(C5:C13)</f>
        <v>1942</v>
      </c>
      <c r="D14" s="7">
        <f t="shared" si="1"/>
        <v>679</v>
      </c>
      <c r="E14" s="7">
        <f t="shared" si="1"/>
        <v>195</v>
      </c>
      <c r="F14" s="7">
        <f t="shared" si="1"/>
        <v>85</v>
      </c>
      <c r="G14" s="7">
        <f t="shared" si="1"/>
        <v>25</v>
      </c>
      <c r="H14" s="7">
        <f t="shared" si="1"/>
        <v>30</v>
      </c>
      <c r="I14" s="7">
        <f t="shared" si="1"/>
        <v>385</v>
      </c>
      <c r="J14" s="7">
        <f t="shared" si="1"/>
        <v>227</v>
      </c>
      <c r="K14" s="7">
        <f t="shared" si="1"/>
        <v>68</v>
      </c>
      <c r="L14" s="7">
        <f t="shared" si="1"/>
        <v>40</v>
      </c>
      <c r="M14" s="7">
        <f t="shared" si="1"/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showGridLines="0" zoomScaleNormal="100" workbookViewId="0">
      <pane xSplit="8" ySplit="5" topLeftCell="J11" activePane="bottomRight" state="frozen"/>
      <selection activeCell="K10" sqref="K10"/>
      <selection pane="topRight" activeCell="K10" sqref="K10"/>
      <selection pane="bottomLeft" activeCell="K10" sqref="K10"/>
      <selection pane="bottomRight" activeCell="F25" sqref="F25"/>
    </sheetView>
  </sheetViews>
  <sheetFormatPr defaultColWidth="8.6640625" defaultRowHeight="14.4" x14ac:dyDescent="0.3"/>
  <cols>
    <col min="1" max="1" width="10" customWidth="1"/>
    <col min="2" max="2" width="8" customWidth="1"/>
    <col min="3" max="3" width="14" customWidth="1"/>
    <col min="4" max="4" width="11" customWidth="1"/>
    <col min="5" max="6" width="8" style="30" customWidth="1"/>
    <col min="7" max="7" width="9" style="30" customWidth="1"/>
    <col min="8" max="8" width="7" style="30" customWidth="1"/>
    <col min="9" max="30" width="7.44140625" style="30" customWidth="1"/>
  </cols>
  <sheetData>
    <row r="1" spans="1:30" ht="15.75" customHeight="1" x14ac:dyDescent="0.3">
      <c r="A1" s="3" t="s">
        <v>34</v>
      </c>
    </row>
    <row r="2" spans="1:30" ht="15" customHeight="1" x14ac:dyDescent="0.3">
      <c r="A2" s="2" t="s">
        <v>35</v>
      </c>
    </row>
    <row r="3" spans="1:30" ht="15" thickBot="1" x14ac:dyDescent="0.35"/>
    <row r="4" spans="1:30" ht="15" customHeight="1" x14ac:dyDescent="0.3">
      <c r="A4" s="130" t="s">
        <v>0</v>
      </c>
      <c r="B4" s="130" t="s">
        <v>1</v>
      </c>
      <c r="C4" s="130" t="s">
        <v>2</v>
      </c>
      <c r="D4" s="132" t="s">
        <v>3</v>
      </c>
      <c r="E4" s="134" t="s">
        <v>56</v>
      </c>
      <c r="F4" s="139" t="s">
        <v>4</v>
      </c>
      <c r="G4" s="139" t="s">
        <v>57</v>
      </c>
      <c r="H4" s="140" t="s">
        <v>58</v>
      </c>
      <c r="I4" s="138" t="s">
        <v>36</v>
      </c>
      <c r="J4" s="137"/>
      <c r="K4" s="138" t="s">
        <v>37</v>
      </c>
      <c r="L4" s="136"/>
      <c r="M4" s="136" t="s">
        <v>38</v>
      </c>
      <c r="N4" s="136"/>
      <c r="O4" s="136" t="s">
        <v>39</v>
      </c>
      <c r="P4" s="136"/>
      <c r="Q4" s="136" t="s">
        <v>40</v>
      </c>
      <c r="R4" s="137"/>
      <c r="S4" s="138" t="s">
        <v>41</v>
      </c>
      <c r="T4" s="137"/>
      <c r="U4" s="138" t="s">
        <v>42</v>
      </c>
      <c r="V4" s="137"/>
      <c r="W4" s="126" t="s">
        <v>33</v>
      </c>
      <c r="X4" s="127"/>
      <c r="Y4" s="128" t="s">
        <v>43</v>
      </c>
      <c r="Z4" s="128"/>
      <c r="AA4" s="128" t="s">
        <v>44</v>
      </c>
      <c r="AB4" s="128"/>
      <c r="AC4" s="128" t="s">
        <v>45</v>
      </c>
      <c r="AD4" s="129"/>
    </row>
    <row r="5" spans="1:30" ht="15" customHeight="1" x14ac:dyDescent="0.3">
      <c r="A5" s="131"/>
      <c r="B5" s="131"/>
      <c r="C5" s="131"/>
      <c r="D5" s="133"/>
      <c r="E5" s="135"/>
      <c r="F5" s="131"/>
      <c r="G5" s="131"/>
      <c r="H5" s="141"/>
      <c r="I5" s="106" t="s">
        <v>4</v>
      </c>
      <c r="J5" s="107" t="s">
        <v>46</v>
      </c>
      <c r="K5" s="106" t="s">
        <v>4</v>
      </c>
      <c r="L5" s="108" t="s">
        <v>46</v>
      </c>
      <c r="M5" s="108" t="s">
        <v>4</v>
      </c>
      <c r="N5" s="108" t="s">
        <v>46</v>
      </c>
      <c r="O5" s="108" t="s">
        <v>4</v>
      </c>
      <c r="P5" s="108" t="s">
        <v>46</v>
      </c>
      <c r="Q5" s="108" t="s">
        <v>4</v>
      </c>
      <c r="R5" s="107" t="s">
        <v>46</v>
      </c>
      <c r="S5" s="106" t="s">
        <v>4</v>
      </c>
      <c r="T5" s="107" t="s">
        <v>46</v>
      </c>
      <c r="U5" s="106" t="s">
        <v>4</v>
      </c>
      <c r="V5" s="107" t="s">
        <v>46</v>
      </c>
      <c r="W5" s="99" t="s">
        <v>4</v>
      </c>
      <c r="X5" s="100" t="s">
        <v>47</v>
      </c>
      <c r="Y5" s="101" t="s">
        <v>4</v>
      </c>
      <c r="Z5" s="101" t="s">
        <v>48</v>
      </c>
      <c r="AA5" s="101" t="s">
        <v>4</v>
      </c>
      <c r="AB5" s="101" t="s">
        <v>48</v>
      </c>
      <c r="AC5" s="101" t="s">
        <v>4</v>
      </c>
      <c r="AD5" s="102" t="s">
        <v>48</v>
      </c>
    </row>
    <row r="6" spans="1:30" ht="15" customHeight="1" x14ac:dyDescent="0.3">
      <c r="A6" s="123" t="s">
        <v>8</v>
      </c>
      <c r="B6" s="8"/>
      <c r="C6" s="8"/>
      <c r="D6" s="9"/>
      <c r="E6" s="39"/>
      <c r="F6" s="37"/>
      <c r="G6" s="39"/>
      <c r="H6" s="109"/>
      <c r="I6" s="59"/>
      <c r="J6" s="103"/>
      <c r="K6" s="59"/>
      <c r="L6" s="39"/>
      <c r="M6" s="39"/>
      <c r="N6" s="39"/>
      <c r="O6" s="39"/>
      <c r="P6" s="39"/>
      <c r="Q6" s="39"/>
      <c r="R6" s="103"/>
      <c r="S6" s="59"/>
      <c r="T6" s="103"/>
      <c r="U6" s="59"/>
      <c r="V6" s="103"/>
      <c r="W6" s="59"/>
      <c r="X6" s="39"/>
      <c r="Y6" s="39"/>
      <c r="Z6" s="39"/>
      <c r="AA6" s="39"/>
      <c r="AB6" s="39"/>
      <c r="AC6" s="39"/>
      <c r="AD6" s="103"/>
    </row>
    <row r="7" spans="1:30" ht="15" customHeight="1" x14ac:dyDescent="0.3">
      <c r="A7" s="124"/>
      <c r="B7" s="8"/>
      <c r="C7" s="8"/>
      <c r="D7" s="9"/>
      <c r="E7" s="39"/>
      <c r="F7" s="37"/>
      <c r="G7" s="39"/>
      <c r="H7" s="109"/>
      <c r="I7" s="59"/>
      <c r="J7" s="103"/>
      <c r="K7" s="59"/>
      <c r="L7" s="39"/>
      <c r="M7" s="39"/>
      <c r="N7" s="39"/>
      <c r="O7" s="39"/>
      <c r="P7" s="39"/>
      <c r="Q7" s="39"/>
      <c r="R7" s="103"/>
      <c r="S7" s="59"/>
      <c r="T7" s="103"/>
      <c r="U7" s="59"/>
      <c r="V7" s="103"/>
      <c r="W7" s="59"/>
      <c r="X7" s="39"/>
      <c r="Y7" s="39"/>
      <c r="Z7" s="39"/>
      <c r="AA7" s="39"/>
      <c r="AB7" s="39"/>
      <c r="AC7" s="39"/>
      <c r="AD7" s="103"/>
    </row>
    <row r="8" spans="1:30" ht="15" customHeight="1" x14ac:dyDescent="0.3">
      <c r="A8" s="124"/>
      <c r="B8" s="8"/>
      <c r="C8" s="8"/>
      <c r="D8" s="9"/>
      <c r="E8" s="39"/>
      <c r="F8" s="37"/>
      <c r="G8" s="39"/>
      <c r="H8" s="109"/>
      <c r="I8" s="59"/>
      <c r="J8" s="103"/>
      <c r="K8" s="59"/>
      <c r="L8" s="39"/>
      <c r="M8" s="39"/>
      <c r="N8" s="39"/>
      <c r="O8" s="39"/>
      <c r="P8" s="39"/>
      <c r="Q8" s="39"/>
      <c r="R8" s="103"/>
      <c r="S8" s="59"/>
      <c r="T8" s="103"/>
      <c r="U8" s="59"/>
      <c r="V8" s="103"/>
      <c r="W8" s="59"/>
      <c r="X8" s="39"/>
      <c r="Y8" s="39"/>
      <c r="Z8" s="39"/>
      <c r="AA8" s="39"/>
      <c r="AB8" s="39"/>
      <c r="AC8" s="39"/>
      <c r="AD8" s="103"/>
    </row>
    <row r="9" spans="1:30" ht="15" customHeight="1" x14ac:dyDescent="0.3">
      <c r="A9" s="124"/>
      <c r="B9" s="8"/>
      <c r="C9" s="8"/>
      <c r="D9" s="9"/>
      <c r="E9" s="39"/>
      <c r="F9" s="37"/>
      <c r="G9" s="39"/>
      <c r="H9" s="109"/>
      <c r="I9" s="59"/>
      <c r="J9" s="103"/>
      <c r="K9" s="59"/>
      <c r="L9" s="39"/>
      <c r="M9" s="39"/>
      <c r="N9" s="39"/>
      <c r="O9" s="39"/>
      <c r="P9" s="39"/>
      <c r="Q9" s="39"/>
      <c r="R9" s="103"/>
      <c r="S9" s="59"/>
      <c r="T9" s="103"/>
      <c r="U9" s="59"/>
      <c r="V9" s="103"/>
      <c r="W9" s="59"/>
      <c r="X9" s="39"/>
      <c r="Y9" s="39"/>
      <c r="Z9" s="39"/>
      <c r="AA9" s="39"/>
      <c r="AB9" s="39"/>
      <c r="AC9" s="39"/>
      <c r="AD9" s="103"/>
    </row>
    <row r="10" spans="1:30" ht="15" customHeight="1" x14ac:dyDescent="0.3">
      <c r="A10" s="125"/>
      <c r="B10" s="8"/>
      <c r="C10" s="8"/>
      <c r="D10" s="9"/>
      <c r="E10" s="39"/>
      <c r="F10" s="37"/>
      <c r="G10" s="39"/>
      <c r="H10" s="109"/>
      <c r="I10" s="59"/>
      <c r="J10" s="103"/>
      <c r="K10" s="59"/>
      <c r="L10" s="39"/>
      <c r="M10" s="39"/>
      <c r="N10" s="39"/>
      <c r="O10" s="39"/>
      <c r="P10" s="39"/>
      <c r="Q10" s="39"/>
      <c r="R10" s="103"/>
      <c r="S10" s="59"/>
      <c r="T10" s="103"/>
      <c r="U10" s="59"/>
      <c r="V10" s="103"/>
      <c r="W10" s="59"/>
      <c r="X10" s="39"/>
      <c r="Y10" s="39"/>
      <c r="Z10" s="39"/>
      <c r="AA10" s="39"/>
      <c r="AB10" s="39"/>
      <c r="AC10" s="39"/>
      <c r="AD10" s="103"/>
    </row>
    <row r="11" spans="1:30" ht="15" customHeight="1" x14ac:dyDescent="0.3">
      <c r="A11" s="120" t="s">
        <v>52</v>
      </c>
      <c r="B11" s="11"/>
      <c r="C11" s="11"/>
      <c r="D11" s="12"/>
      <c r="E11" s="36"/>
      <c r="F11" s="37"/>
      <c r="G11" s="36"/>
      <c r="H11" s="109"/>
      <c r="I11" s="56"/>
      <c r="J11" s="104"/>
      <c r="K11" s="56"/>
      <c r="L11" s="36"/>
      <c r="M11" s="36"/>
      <c r="N11" s="36"/>
      <c r="O11" s="36"/>
      <c r="P11" s="36"/>
      <c r="Q11" s="36"/>
      <c r="R11" s="104"/>
      <c r="S11" s="56"/>
      <c r="T11" s="104"/>
      <c r="U11" s="56"/>
      <c r="V11" s="104"/>
      <c r="W11" s="56"/>
      <c r="X11" s="36"/>
      <c r="Y11" s="36"/>
      <c r="Z11" s="36"/>
      <c r="AA11" s="36"/>
      <c r="AB11" s="36"/>
      <c r="AC11" s="36"/>
      <c r="AD11" s="104"/>
    </row>
    <row r="12" spans="1:30" ht="15" customHeight="1" x14ac:dyDescent="0.3">
      <c r="A12" s="121"/>
      <c r="B12" s="11"/>
      <c r="C12" s="11"/>
      <c r="D12" s="12"/>
      <c r="E12" s="36"/>
      <c r="F12" s="37"/>
      <c r="G12" s="36"/>
      <c r="H12" s="109"/>
      <c r="I12" s="56"/>
      <c r="J12" s="104"/>
      <c r="K12" s="56"/>
      <c r="L12" s="36"/>
      <c r="M12" s="36"/>
      <c r="N12" s="36"/>
      <c r="O12" s="36"/>
      <c r="P12" s="36"/>
      <c r="Q12" s="36"/>
      <c r="R12" s="104"/>
      <c r="S12" s="56"/>
      <c r="T12" s="104"/>
      <c r="U12" s="56"/>
      <c r="V12" s="104"/>
      <c r="W12" s="56"/>
      <c r="X12" s="36"/>
      <c r="Y12" s="36"/>
      <c r="Z12" s="36"/>
      <c r="AA12" s="36"/>
      <c r="AB12" s="36"/>
      <c r="AC12" s="36"/>
      <c r="AD12" s="104"/>
    </row>
    <row r="13" spans="1:30" ht="15" customHeight="1" x14ac:dyDescent="0.3">
      <c r="A13" s="121"/>
      <c r="B13" s="11"/>
      <c r="C13" s="11"/>
      <c r="D13" s="12"/>
      <c r="E13" s="36"/>
      <c r="F13" s="37"/>
      <c r="G13" s="36"/>
      <c r="H13" s="109"/>
      <c r="I13" s="56"/>
      <c r="J13" s="104"/>
      <c r="K13" s="56"/>
      <c r="L13" s="36"/>
      <c r="M13" s="36"/>
      <c r="N13" s="36"/>
      <c r="O13" s="36"/>
      <c r="P13" s="36"/>
      <c r="Q13" s="36"/>
      <c r="R13" s="104"/>
      <c r="S13" s="56"/>
      <c r="T13" s="104"/>
      <c r="U13" s="56"/>
      <c r="V13" s="104"/>
      <c r="W13" s="56"/>
      <c r="X13" s="36"/>
      <c r="Y13" s="36"/>
      <c r="Z13" s="36"/>
      <c r="AA13" s="36"/>
      <c r="AB13" s="36"/>
      <c r="AC13" s="36"/>
      <c r="AD13" s="104"/>
    </row>
    <row r="14" spans="1:30" ht="15" customHeight="1" x14ac:dyDescent="0.3">
      <c r="A14" s="121"/>
      <c r="B14" s="11"/>
      <c r="C14" s="11"/>
      <c r="D14" s="12"/>
      <c r="E14" s="36"/>
      <c r="F14" s="37"/>
      <c r="G14" s="36"/>
      <c r="H14" s="109"/>
      <c r="I14" s="56"/>
      <c r="J14" s="104"/>
      <c r="K14" s="56"/>
      <c r="L14" s="36"/>
      <c r="M14" s="36"/>
      <c r="N14" s="36"/>
      <c r="O14" s="36"/>
      <c r="P14" s="36"/>
      <c r="Q14" s="36"/>
      <c r="R14" s="104"/>
      <c r="S14" s="56"/>
      <c r="T14" s="104"/>
      <c r="U14" s="56"/>
      <c r="V14" s="104"/>
      <c r="W14" s="56"/>
      <c r="X14" s="36"/>
      <c r="Y14" s="36"/>
      <c r="Z14" s="36"/>
      <c r="AA14" s="36"/>
      <c r="AB14" s="36"/>
      <c r="AC14" s="36"/>
      <c r="AD14" s="104"/>
    </row>
    <row r="15" spans="1:30" ht="15" customHeight="1" x14ac:dyDescent="0.3">
      <c r="A15" s="121"/>
      <c r="B15" s="11"/>
      <c r="C15" s="11"/>
      <c r="D15" s="12"/>
      <c r="E15" s="36"/>
      <c r="F15" s="37"/>
      <c r="G15" s="36"/>
      <c r="H15" s="109"/>
      <c r="I15" s="56"/>
      <c r="J15" s="104"/>
      <c r="K15" s="56"/>
      <c r="L15" s="36"/>
      <c r="M15" s="36"/>
      <c r="N15" s="36"/>
      <c r="O15" s="36"/>
      <c r="P15" s="36"/>
      <c r="Q15" s="36"/>
      <c r="R15" s="104"/>
      <c r="S15" s="56"/>
      <c r="T15" s="104"/>
      <c r="U15" s="56"/>
      <c r="V15" s="104"/>
      <c r="W15" s="56"/>
      <c r="X15" s="36"/>
      <c r="Y15" s="36"/>
      <c r="Z15" s="36"/>
      <c r="AA15" s="36"/>
      <c r="AB15" s="36"/>
      <c r="AC15" s="36"/>
      <c r="AD15" s="104"/>
    </row>
    <row r="16" spans="1:30" ht="15" customHeight="1" x14ac:dyDescent="0.3">
      <c r="A16" s="121"/>
      <c r="B16" s="11"/>
      <c r="C16" s="11"/>
      <c r="D16" s="12"/>
      <c r="E16" s="36"/>
      <c r="F16" s="37"/>
      <c r="G16" s="36"/>
      <c r="H16" s="109"/>
      <c r="I16" s="56"/>
      <c r="J16" s="104"/>
      <c r="K16" s="56"/>
      <c r="L16" s="36"/>
      <c r="M16" s="36"/>
      <c r="N16" s="36"/>
      <c r="O16" s="36"/>
      <c r="P16" s="36"/>
      <c r="Q16" s="36"/>
      <c r="R16" s="104"/>
      <c r="S16" s="56"/>
      <c r="T16" s="104"/>
      <c r="U16" s="56"/>
      <c r="V16" s="104"/>
      <c r="W16" s="56"/>
      <c r="X16" s="36"/>
      <c r="Y16" s="36"/>
      <c r="Z16" s="36"/>
      <c r="AA16" s="36"/>
      <c r="AB16" s="36"/>
      <c r="AC16" s="36"/>
      <c r="AD16" s="104"/>
    </row>
    <row r="17" spans="1:30" ht="15" customHeight="1" x14ac:dyDescent="0.3">
      <c r="A17" s="122"/>
      <c r="B17" s="11"/>
      <c r="C17" s="11"/>
      <c r="D17" s="12"/>
      <c r="E17" s="36"/>
      <c r="F17" s="37"/>
      <c r="G17" s="36"/>
      <c r="H17" s="109"/>
      <c r="I17" s="56"/>
      <c r="J17" s="104"/>
      <c r="K17" s="56"/>
      <c r="L17" s="36"/>
      <c r="M17" s="36"/>
      <c r="N17" s="36"/>
      <c r="O17" s="36"/>
      <c r="P17" s="36"/>
      <c r="Q17" s="36"/>
      <c r="R17" s="104"/>
      <c r="S17" s="56"/>
      <c r="T17" s="104"/>
      <c r="U17" s="56"/>
      <c r="V17" s="104"/>
      <c r="W17" s="56"/>
      <c r="X17" s="36"/>
      <c r="Y17" s="36"/>
      <c r="Z17" s="36"/>
      <c r="AA17" s="36"/>
      <c r="AB17" s="36"/>
      <c r="AC17" s="36"/>
      <c r="AD17" s="104"/>
    </row>
    <row r="18" spans="1:30" ht="15" customHeight="1" x14ac:dyDescent="0.3">
      <c r="A18" s="123" t="s">
        <v>7</v>
      </c>
      <c r="B18" s="8"/>
      <c r="C18" s="8"/>
      <c r="D18" s="9"/>
      <c r="E18" s="39"/>
      <c r="F18" s="37"/>
      <c r="G18" s="39"/>
      <c r="H18" s="109"/>
      <c r="I18" s="59"/>
      <c r="J18" s="103"/>
      <c r="K18" s="59"/>
      <c r="L18" s="39"/>
      <c r="M18" s="39"/>
      <c r="N18" s="39"/>
      <c r="O18" s="39"/>
      <c r="P18" s="39"/>
      <c r="Q18" s="39"/>
      <c r="R18" s="103"/>
      <c r="S18" s="59"/>
      <c r="T18" s="103"/>
      <c r="U18" s="59"/>
      <c r="V18" s="103"/>
      <c r="W18" s="59"/>
      <c r="X18" s="39"/>
      <c r="Y18" s="39"/>
      <c r="Z18" s="39"/>
      <c r="AA18" s="39"/>
      <c r="AB18" s="39"/>
      <c r="AC18" s="39"/>
      <c r="AD18" s="103"/>
    </row>
    <row r="19" spans="1:30" ht="15" customHeight="1" x14ac:dyDescent="0.3">
      <c r="A19" s="124"/>
      <c r="B19" s="8"/>
      <c r="C19" s="8"/>
      <c r="D19" s="9"/>
      <c r="E19" s="39"/>
      <c r="F19" s="37"/>
      <c r="G19" s="39"/>
      <c r="H19" s="109"/>
      <c r="I19" s="59"/>
      <c r="J19" s="103"/>
      <c r="K19" s="59"/>
      <c r="L19" s="39"/>
      <c r="M19" s="39"/>
      <c r="N19" s="39"/>
      <c r="O19" s="39"/>
      <c r="P19" s="39"/>
      <c r="Q19" s="39"/>
      <c r="R19" s="103"/>
      <c r="S19" s="59"/>
      <c r="T19" s="103"/>
      <c r="U19" s="59"/>
      <c r="V19" s="103"/>
      <c r="W19" s="59"/>
      <c r="X19" s="39"/>
      <c r="Y19" s="39"/>
      <c r="Z19" s="39"/>
      <c r="AA19" s="39"/>
      <c r="AB19" s="39"/>
      <c r="AC19" s="39"/>
      <c r="AD19" s="103"/>
    </row>
    <row r="20" spans="1:30" ht="15" customHeight="1" x14ac:dyDescent="0.3">
      <c r="A20" s="124"/>
      <c r="B20" s="8"/>
      <c r="C20" s="8"/>
      <c r="D20" s="9"/>
      <c r="E20" s="39"/>
      <c r="F20" s="37"/>
      <c r="G20" s="39"/>
      <c r="H20" s="109"/>
      <c r="I20" s="59"/>
      <c r="J20" s="103"/>
      <c r="K20" s="59"/>
      <c r="L20" s="39"/>
      <c r="M20" s="39"/>
      <c r="N20" s="39"/>
      <c r="O20" s="39"/>
      <c r="P20" s="39"/>
      <c r="Q20" s="39"/>
      <c r="R20" s="103"/>
      <c r="S20" s="59"/>
      <c r="T20" s="103"/>
      <c r="U20" s="59"/>
      <c r="V20" s="103"/>
      <c r="W20" s="59"/>
      <c r="X20" s="39"/>
      <c r="Y20" s="39"/>
      <c r="Z20" s="39"/>
      <c r="AA20" s="39"/>
      <c r="AB20" s="39"/>
      <c r="AC20" s="39"/>
      <c r="AD20" s="103"/>
    </row>
    <row r="21" spans="1:30" ht="15" customHeight="1" x14ac:dyDescent="0.3">
      <c r="A21" s="124"/>
      <c r="B21" s="8"/>
      <c r="C21" s="8"/>
      <c r="D21" s="9"/>
      <c r="E21" s="39"/>
      <c r="F21" s="37"/>
      <c r="G21" s="39"/>
      <c r="H21" s="109"/>
      <c r="I21" s="59"/>
      <c r="J21" s="103"/>
      <c r="K21" s="59"/>
      <c r="L21" s="39"/>
      <c r="M21" s="39"/>
      <c r="N21" s="39"/>
      <c r="O21" s="39"/>
      <c r="P21" s="39"/>
      <c r="Q21" s="39"/>
      <c r="R21" s="103"/>
      <c r="S21" s="59"/>
      <c r="T21" s="103"/>
      <c r="U21" s="59"/>
      <c r="V21" s="103"/>
      <c r="W21" s="59"/>
      <c r="X21" s="39"/>
      <c r="Y21" s="39"/>
      <c r="Z21" s="39"/>
      <c r="AA21" s="39"/>
      <c r="AB21" s="39"/>
      <c r="AC21" s="39"/>
      <c r="AD21" s="103"/>
    </row>
    <row r="22" spans="1:30" ht="15" customHeight="1" x14ac:dyDescent="0.3">
      <c r="A22" s="124"/>
      <c r="B22" s="8"/>
      <c r="C22" s="8"/>
      <c r="D22" s="9"/>
      <c r="E22" s="39"/>
      <c r="F22" s="37"/>
      <c r="G22" s="39"/>
      <c r="H22" s="109"/>
      <c r="I22" s="59"/>
      <c r="J22" s="103"/>
      <c r="K22" s="59"/>
      <c r="L22" s="39"/>
      <c r="M22" s="39"/>
      <c r="N22" s="39"/>
      <c r="O22" s="39"/>
      <c r="P22" s="39"/>
      <c r="Q22" s="39"/>
      <c r="R22" s="103"/>
      <c r="S22" s="59"/>
      <c r="T22" s="103"/>
      <c r="U22" s="59"/>
      <c r="V22" s="103"/>
      <c r="W22" s="59"/>
      <c r="X22" s="39"/>
      <c r="Y22" s="39"/>
      <c r="Z22" s="39"/>
      <c r="AA22" s="39"/>
      <c r="AB22" s="39"/>
      <c r="AC22" s="39"/>
      <c r="AD22" s="103"/>
    </row>
    <row r="23" spans="1:30" ht="15" customHeight="1" x14ac:dyDescent="0.3">
      <c r="A23" s="124"/>
      <c r="B23" s="8"/>
      <c r="C23" s="8"/>
      <c r="D23" s="9"/>
      <c r="E23" s="39"/>
      <c r="F23" s="37"/>
      <c r="G23" s="39"/>
      <c r="H23" s="109"/>
      <c r="I23" s="59"/>
      <c r="J23" s="103"/>
      <c r="K23" s="59"/>
      <c r="L23" s="39"/>
      <c r="M23" s="39"/>
      <c r="N23" s="39"/>
      <c r="O23" s="39"/>
      <c r="P23" s="39"/>
      <c r="Q23" s="39"/>
      <c r="R23" s="103"/>
      <c r="S23" s="59"/>
      <c r="T23" s="103"/>
      <c r="U23" s="59"/>
      <c r="V23" s="103"/>
      <c r="W23" s="59"/>
      <c r="X23" s="39"/>
      <c r="Y23" s="39"/>
      <c r="Z23" s="39"/>
      <c r="AA23" s="39"/>
      <c r="AB23" s="39"/>
      <c r="AC23" s="39"/>
      <c r="AD23" s="103"/>
    </row>
    <row r="24" spans="1:30" ht="15" customHeight="1" x14ac:dyDescent="0.3">
      <c r="A24" s="124"/>
      <c r="B24" s="8"/>
      <c r="C24" s="8"/>
      <c r="D24" s="9"/>
      <c r="E24" s="39"/>
      <c r="F24" s="37"/>
      <c r="G24" s="39"/>
      <c r="H24" s="109"/>
      <c r="I24" s="59"/>
      <c r="J24" s="103"/>
      <c r="K24" s="59"/>
      <c r="L24" s="39"/>
      <c r="M24" s="39"/>
      <c r="N24" s="39"/>
      <c r="O24" s="39"/>
      <c r="P24" s="39"/>
      <c r="Q24" s="39"/>
      <c r="R24" s="103"/>
      <c r="S24" s="59"/>
      <c r="T24" s="103"/>
      <c r="U24" s="59"/>
      <c r="V24" s="103"/>
      <c r="W24" s="59"/>
      <c r="X24" s="39"/>
      <c r="Y24" s="39"/>
      <c r="Z24" s="39"/>
      <c r="AA24" s="39"/>
      <c r="AB24" s="39"/>
      <c r="AC24" s="39"/>
      <c r="AD24" s="103"/>
    </row>
    <row r="25" spans="1:30" ht="15" customHeight="1" x14ac:dyDescent="0.3">
      <c r="A25" s="124"/>
      <c r="B25" s="8"/>
      <c r="C25" s="8"/>
      <c r="D25" s="9"/>
      <c r="E25" s="39"/>
      <c r="F25" s="37"/>
      <c r="G25" s="39"/>
      <c r="H25" s="109"/>
      <c r="I25" s="59"/>
      <c r="J25" s="103"/>
      <c r="K25" s="59"/>
      <c r="L25" s="39"/>
      <c r="M25" s="39"/>
      <c r="N25" s="39"/>
      <c r="O25" s="39"/>
      <c r="P25" s="39"/>
      <c r="Q25" s="39"/>
      <c r="R25" s="103"/>
      <c r="S25" s="59"/>
      <c r="T25" s="103"/>
      <c r="U25" s="59"/>
      <c r="V25" s="103"/>
      <c r="W25" s="59"/>
      <c r="X25" s="39"/>
      <c r="Y25" s="39"/>
      <c r="Z25" s="39"/>
      <c r="AA25" s="39"/>
      <c r="AB25" s="39"/>
      <c r="AC25" s="39"/>
      <c r="AD25" s="103"/>
    </row>
    <row r="26" spans="1:30" ht="15" customHeight="1" x14ac:dyDescent="0.3">
      <c r="A26" s="125"/>
      <c r="B26" s="8"/>
      <c r="C26" s="8"/>
      <c r="D26" s="9"/>
      <c r="E26" s="39"/>
      <c r="F26" s="37"/>
      <c r="G26" s="39"/>
      <c r="H26" s="109"/>
      <c r="I26" s="59"/>
      <c r="J26" s="103"/>
      <c r="K26" s="59"/>
      <c r="L26" s="39"/>
      <c r="M26" s="39"/>
      <c r="N26" s="39"/>
      <c r="O26" s="39"/>
      <c r="P26" s="39"/>
      <c r="Q26" s="39"/>
      <c r="R26" s="103"/>
      <c r="S26" s="59"/>
      <c r="T26" s="103"/>
      <c r="U26" s="59"/>
      <c r="V26" s="103"/>
      <c r="W26" s="59"/>
      <c r="X26" s="39"/>
      <c r="Y26" s="39"/>
      <c r="Z26" s="39"/>
      <c r="AA26" s="39"/>
      <c r="AB26" s="39"/>
      <c r="AC26" s="39"/>
      <c r="AD26" s="103"/>
    </row>
    <row r="27" spans="1:30" ht="15" customHeight="1" x14ac:dyDescent="0.3">
      <c r="A27" s="120" t="s">
        <v>5</v>
      </c>
      <c r="B27" s="11"/>
      <c r="C27" s="11"/>
      <c r="D27" s="12"/>
      <c r="E27" s="36"/>
      <c r="F27" s="37"/>
      <c r="G27" s="36"/>
      <c r="H27" s="109"/>
      <c r="I27" s="56"/>
      <c r="J27" s="104"/>
      <c r="K27" s="56"/>
      <c r="L27" s="36"/>
      <c r="M27" s="36"/>
      <c r="N27" s="36"/>
      <c r="O27" s="36"/>
      <c r="P27" s="36"/>
      <c r="Q27" s="36"/>
      <c r="R27" s="104"/>
      <c r="S27" s="56"/>
      <c r="T27" s="104"/>
      <c r="U27" s="56"/>
      <c r="V27" s="104"/>
      <c r="W27" s="56"/>
      <c r="X27" s="36"/>
      <c r="Y27" s="36"/>
      <c r="Z27" s="36"/>
      <c r="AA27" s="36"/>
      <c r="AB27" s="36"/>
      <c r="AC27" s="36"/>
      <c r="AD27" s="104"/>
    </row>
    <row r="28" spans="1:30" ht="15" customHeight="1" x14ac:dyDescent="0.3">
      <c r="A28" s="121"/>
      <c r="B28" s="11"/>
      <c r="C28" s="11"/>
      <c r="D28" s="12"/>
      <c r="E28" s="36"/>
      <c r="F28" s="37"/>
      <c r="G28" s="36"/>
      <c r="H28" s="109"/>
      <c r="I28" s="56"/>
      <c r="J28" s="104"/>
      <c r="K28" s="56"/>
      <c r="L28" s="36"/>
      <c r="M28" s="36"/>
      <c r="N28" s="36"/>
      <c r="O28" s="36"/>
      <c r="P28" s="36"/>
      <c r="Q28" s="36"/>
      <c r="R28" s="104"/>
      <c r="S28" s="56"/>
      <c r="T28" s="104"/>
      <c r="U28" s="56"/>
      <c r="V28" s="104"/>
      <c r="W28" s="56"/>
      <c r="X28" s="36"/>
      <c r="Y28" s="36"/>
      <c r="Z28" s="36"/>
      <c r="AA28" s="36"/>
      <c r="AB28" s="36"/>
      <c r="AC28" s="36"/>
      <c r="AD28" s="104"/>
    </row>
    <row r="29" spans="1:30" ht="15" customHeight="1" x14ac:dyDescent="0.3">
      <c r="A29" s="121"/>
      <c r="B29" s="11"/>
      <c r="C29" s="11"/>
      <c r="D29" s="12"/>
      <c r="E29" s="36"/>
      <c r="F29" s="37"/>
      <c r="G29" s="36"/>
      <c r="H29" s="109"/>
      <c r="I29" s="56"/>
      <c r="J29" s="104"/>
      <c r="K29" s="56"/>
      <c r="L29" s="36"/>
      <c r="M29" s="36"/>
      <c r="N29" s="36"/>
      <c r="O29" s="36"/>
      <c r="P29" s="36"/>
      <c r="Q29" s="36"/>
      <c r="R29" s="104"/>
      <c r="S29" s="56"/>
      <c r="T29" s="104"/>
      <c r="U29" s="56"/>
      <c r="V29" s="104"/>
      <c r="W29" s="56"/>
      <c r="X29" s="36"/>
      <c r="Y29" s="36"/>
      <c r="Z29" s="36"/>
      <c r="AA29" s="36"/>
      <c r="AB29" s="36"/>
      <c r="AC29" s="36"/>
      <c r="AD29" s="104"/>
    </row>
    <row r="30" spans="1:30" ht="15" customHeight="1" x14ac:dyDescent="0.3">
      <c r="A30" s="121"/>
      <c r="B30" s="11"/>
      <c r="C30" s="11"/>
      <c r="D30" s="12"/>
      <c r="E30" s="36"/>
      <c r="F30" s="37"/>
      <c r="G30" s="36"/>
      <c r="H30" s="109"/>
      <c r="I30" s="56"/>
      <c r="J30" s="104"/>
      <c r="K30" s="56"/>
      <c r="L30" s="36"/>
      <c r="M30" s="36"/>
      <c r="N30" s="36"/>
      <c r="O30" s="36"/>
      <c r="P30" s="36"/>
      <c r="Q30" s="36"/>
      <c r="R30" s="104"/>
      <c r="S30" s="56"/>
      <c r="T30" s="104"/>
      <c r="U30" s="56"/>
      <c r="V30" s="104"/>
      <c r="W30" s="56"/>
      <c r="X30" s="36"/>
      <c r="Y30" s="36"/>
      <c r="Z30" s="36"/>
      <c r="AA30" s="36"/>
      <c r="AB30" s="36"/>
      <c r="AC30" s="36"/>
      <c r="AD30" s="104"/>
    </row>
    <row r="31" spans="1:30" ht="15" customHeight="1" x14ac:dyDescent="0.3">
      <c r="A31" s="121"/>
      <c r="B31" s="11"/>
      <c r="C31" s="11"/>
      <c r="D31" s="12"/>
      <c r="E31" s="36"/>
      <c r="F31" s="37"/>
      <c r="G31" s="36"/>
      <c r="H31" s="109"/>
      <c r="I31" s="56"/>
      <c r="J31" s="104"/>
      <c r="K31" s="56"/>
      <c r="L31" s="36"/>
      <c r="M31" s="36"/>
      <c r="N31" s="36"/>
      <c r="O31" s="36"/>
      <c r="P31" s="36"/>
      <c r="Q31" s="36"/>
      <c r="R31" s="104"/>
      <c r="S31" s="56"/>
      <c r="T31" s="104"/>
      <c r="U31" s="56"/>
      <c r="V31" s="104"/>
      <c r="W31" s="56"/>
      <c r="X31" s="36"/>
      <c r="Y31" s="36"/>
      <c r="Z31" s="36"/>
      <c r="AA31" s="36"/>
      <c r="AB31" s="36"/>
      <c r="AC31" s="36"/>
      <c r="AD31" s="104"/>
    </row>
    <row r="32" spans="1:30" ht="15" customHeight="1" x14ac:dyDescent="0.3">
      <c r="A32" s="121"/>
      <c r="B32" s="11"/>
      <c r="C32" s="11"/>
      <c r="D32" s="12"/>
      <c r="E32" s="36"/>
      <c r="F32" s="37"/>
      <c r="G32" s="36"/>
      <c r="H32" s="109"/>
      <c r="I32" s="56"/>
      <c r="J32" s="104"/>
      <c r="K32" s="56"/>
      <c r="L32" s="36"/>
      <c r="M32" s="36"/>
      <c r="N32" s="36"/>
      <c r="O32" s="36"/>
      <c r="P32" s="36"/>
      <c r="Q32" s="36"/>
      <c r="R32" s="104"/>
      <c r="S32" s="56"/>
      <c r="T32" s="104"/>
      <c r="U32" s="56"/>
      <c r="V32" s="104"/>
      <c r="W32" s="56"/>
      <c r="X32" s="36"/>
      <c r="Y32" s="36"/>
      <c r="Z32" s="36"/>
      <c r="AA32" s="36"/>
      <c r="AB32" s="36"/>
      <c r="AC32" s="36"/>
      <c r="AD32" s="104"/>
    </row>
    <row r="33" spans="1:30" ht="15" customHeight="1" x14ac:dyDescent="0.3">
      <c r="A33" s="122"/>
      <c r="B33" s="11"/>
      <c r="C33" s="11"/>
      <c r="D33" s="12"/>
      <c r="E33" s="36"/>
      <c r="F33" s="37"/>
      <c r="G33" s="36"/>
      <c r="H33" s="109"/>
      <c r="I33" s="56"/>
      <c r="J33" s="104"/>
      <c r="K33" s="56"/>
      <c r="L33" s="36"/>
      <c r="M33" s="36"/>
      <c r="N33" s="36"/>
      <c r="O33" s="36"/>
      <c r="P33" s="36"/>
      <c r="Q33" s="36"/>
      <c r="R33" s="104"/>
      <c r="S33" s="56"/>
      <c r="T33" s="104"/>
      <c r="U33" s="56"/>
      <c r="V33" s="104"/>
      <c r="W33" s="56"/>
      <c r="X33" s="36"/>
      <c r="Y33" s="36"/>
      <c r="Z33" s="36"/>
      <c r="AA33" s="36"/>
      <c r="AB33" s="36"/>
      <c r="AC33" s="36"/>
      <c r="AD33" s="104"/>
    </row>
    <row r="34" spans="1:30" ht="15" customHeight="1" x14ac:dyDescent="0.3">
      <c r="A34" s="123" t="s">
        <v>6</v>
      </c>
      <c r="B34" s="8"/>
      <c r="C34" s="8"/>
      <c r="D34" s="9"/>
      <c r="E34" s="39"/>
      <c r="F34" s="37"/>
      <c r="G34" s="39"/>
      <c r="H34" s="109"/>
      <c r="I34" s="59"/>
      <c r="J34" s="103"/>
      <c r="K34" s="59"/>
      <c r="L34" s="39"/>
      <c r="M34" s="39"/>
      <c r="N34" s="39"/>
      <c r="O34" s="39"/>
      <c r="P34" s="39"/>
      <c r="Q34" s="39"/>
      <c r="R34" s="103"/>
      <c r="S34" s="59"/>
      <c r="T34" s="103"/>
      <c r="U34" s="59"/>
      <c r="V34" s="103"/>
      <c r="W34" s="59"/>
      <c r="X34" s="39"/>
      <c r="Y34" s="39"/>
      <c r="Z34" s="39"/>
      <c r="AA34" s="39"/>
      <c r="AB34" s="39"/>
      <c r="AC34" s="39"/>
      <c r="AD34" s="103"/>
    </row>
    <row r="35" spans="1:30" ht="15" customHeight="1" x14ac:dyDescent="0.3">
      <c r="A35" s="124"/>
      <c r="B35" s="8"/>
      <c r="C35" s="8"/>
      <c r="D35" s="9"/>
      <c r="E35" s="39"/>
      <c r="F35" s="37"/>
      <c r="G35" s="39"/>
      <c r="H35" s="109"/>
      <c r="I35" s="59"/>
      <c r="J35" s="103"/>
      <c r="K35" s="59"/>
      <c r="L35" s="39"/>
      <c r="M35" s="39"/>
      <c r="N35" s="39"/>
      <c r="O35" s="39"/>
      <c r="P35" s="39"/>
      <c r="Q35" s="39"/>
      <c r="R35" s="103"/>
      <c r="S35" s="59"/>
      <c r="T35" s="103"/>
      <c r="U35" s="59"/>
      <c r="V35" s="103"/>
      <c r="W35" s="59"/>
      <c r="X35" s="39"/>
      <c r="Y35" s="39"/>
      <c r="Z35" s="39"/>
      <c r="AA35" s="39"/>
      <c r="AB35" s="39"/>
      <c r="AC35" s="39"/>
      <c r="AD35" s="103"/>
    </row>
    <row r="36" spans="1:30" ht="15" customHeight="1" x14ac:dyDescent="0.3">
      <c r="A36" s="124"/>
      <c r="B36" s="8"/>
      <c r="C36" s="8"/>
      <c r="D36" s="9"/>
      <c r="E36" s="39"/>
      <c r="F36" s="37"/>
      <c r="G36" s="39"/>
      <c r="H36" s="109"/>
      <c r="I36" s="59"/>
      <c r="J36" s="103"/>
      <c r="K36" s="59"/>
      <c r="L36" s="39"/>
      <c r="M36" s="39"/>
      <c r="N36" s="39"/>
      <c r="O36" s="39"/>
      <c r="P36" s="39"/>
      <c r="Q36" s="39"/>
      <c r="R36" s="103"/>
      <c r="S36" s="59"/>
      <c r="T36" s="103"/>
      <c r="U36" s="59"/>
      <c r="V36" s="103"/>
      <c r="W36" s="59"/>
      <c r="X36" s="39"/>
      <c r="Y36" s="39"/>
      <c r="Z36" s="39"/>
      <c r="AA36" s="39"/>
      <c r="AB36" s="39"/>
      <c r="AC36" s="39"/>
      <c r="AD36" s="103"/>
    </row>
    <row r="37" spans="1:30" ht="15" customHeight="1" x14ac:dyDescent="0.3">
      <c r="A37" s="124"/>
      <c r="B37" s="8"/>
      <c r="C37" s="8"/>
      <c r="D37" s="9"/>
      <c r="E37" s="39"/>
      <c r="F37" s="37"/>
      <c r="G37" s="39"/>
      <c r="H37" s="109"/>
      <c r="I37" s="59"/>
      <c r="J37" s="103"/>
      <c r="K37" s="59"/>
      <c r="L37" s="39"/>
      <c r="M37" s="39"/>
      <c r="N37" s="39"/>
      <c r="O37" s="39"/>
      <c r="P37" s="39"/>
      <c r="Q37" s="39"/>
      <c r="R37" s="103"/>
      <c r="S37" s="59"/>
      <c r="T37" s="103"/>
      <c r="U37" s="59"/>
      <c r="V37" s="103"/>
      <c r="W37" s="59"/>
      <c r="X37" s="39"/>
      <c r="Y37" s="39"/>
      <c r="Z37" s="39"/>
      <c r="AA37" s="39"/>
      <c r="AB37" s="39"/>
      <c r="AC37" s="39"/>
      <c r="AD37" s="103"/>
    </row>
    <row r="38" spans="1:30" ht="15" customHeight="1" thickBot="1" x14ac:dyDescent="0.35">
      <c r="A38" s="125"/>
      <c r="B38" s="8"/>
      <c r="C38" s="8"/>
      <c r="D38" s="9"/>
      <c r="E38" s="39"/>
      <c r="F38" s="37"/>
      <c r="G38" s="39"/>
      <c r="H38" s="109"/>
      <c r="I38" s="53"/>
      <c r="J38" s="105"/>
      <c r="K38" s="53"/>
      <c r="L38" s="33"/>
      <c r="M38" s="33"/>
      <c r="N38" s="33"/>
      <c r="O38" s="33"/>
      <c r="P38" s="33"/>
      <c r="Q38" s="33"/>
      <c r="R38" s="105"/>
      <c r="S38" s="53"/>
      <c r="T38" s="105"/>
      <c r="U38" s="53"/>
      <c r="V38" s="105"/>
      <c r="W38" s="53"/>
      <c r="X38" s="33"/>
      <c r="Y38" s="33"/>
      <c r="Z38" s="33"/>
      <c r="AA38" s="33"/>
      <c r="AB38" s="33"/>
      <c r="AC38" s="33"/>
      <c r="AD38" s="105"/>
    </row>
    <row r="39" spans="1:30" ht="15" customHeight="1" x14ac:dyDescent="0.3">
      <c r="B39" s="6" t="s">
        <v>53</v>
      </c>
      <c r="G39" s="40">
        <f>SUM(G6:G38)</f>
        <v>0</v>
      </c>
      <c r="J39" s="40">
        <f>SUM(J6:J38)</f>
        <v>0</v>
      </c>
      <c r="L39" s="40">
        <f>SUM(L6:L38)</f>
        <v>0</v>
      </c>
      <c r="N39" s="40">
        <f>SUM(N6:N38)</f>
        <v>0</v>
      </c>
      <c r="P39" s="40">
        <f>SUM(P6:P38)</f>
        <v>0</v>
      </c>
      <c r="R39" s="40">
        <f>SUM(R6:R38)</f>
        <v>0</v>
      </c>
      <c r="T39" s="40">
        <f>SUM(T6:T38)</f>
        <v>0</v>
      </c>
      <c r="V39" s="40">
        <f>SUM(V6:V38)</f>
        <v>0</v>
      </c>
      <c r="X39" s="40">
        <f>SUM(X6:X38)</f>
        <v>0</v>
      </c>
      <c r="Z39" s="40">
        <f>SUM(Z6:Z38)</f>
        <v>0</v>
      </c>
      <c r="AB39" s="40">
        <f>SUM(AB6:AB38)</f>
        <v>0</v>
      </c>
      <c r="AD39" s="40">
        <f>SUM(AD6:AD38)</f>
        <v>0</v>
      </c>
    </row>
  </sheetData>
  <mergeCells count="24">
    <mergeCell ref="I4:J4"/>
    <mergeCell ref="K4:L4"/>
    <mergeCell ref="A4:A5"/>
    <mergeCell ref="W4:X4"/>
    <mergeCell ref="Y4:Z4"/>
    <mergeCell ref="AA4:AB4"/>
    <mergeCell ref="AC4:AD4"/>
    <mergeCell ref="B4:B5"/>
    <mergeCell ref="C4:C5"/>
    <mergeCell ref="D4:D5"/>
    <mergeCell ref="E4:E5"/>
    <mergeCell ref="M4:N4"/>
    <mergeCell ref="O4:P4"/>
    <mergeCell ref="Q4:R4"/>
    <mergeCell ref="S4:T4"/>
    <mergeCell ref="U4:V4"/>
    <mergeCell ref="F4:F5"/>
    <mergeCell ref="G4:G5"/>
    <mergeCell ref="H4:H5"/>
    <mergeCell ref="A27:A33"/>
    <mergeCell ref="A34:A38"/>
    <mergeCell ref="A6:A10"/>
    <mergeCell ref="A11:A17"/>
    <mergeCell ref="A18:A26"/>
  </mergeCells>
  <conditionalFormatting sqref="H6:H38">
    <cfRule type="cellIs" dxfId="50" priority="2" operator="equal">
      <formula>100</formula>
    </cfRule>
    <cfRule type="cellIs" dxfId="49" priority="3" operator="lessThan">
      <formula>100</formula>
    </cfRule>
    <cfRule type="cellIs" dxfId="48" priority="4" operator="greaterThan">
      <formula>100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showGridLines="0"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J26" sqref="J26"/>
    </sheetView>
  </sheetViews>
  <sheetFormatPr defaultColWidth="8.6640625" defaultRowHeight="14.4" x14ac:dyDescent="0.3"/>
  <cols>
    <col min="1" max="1" width="10" customWidth="1"/>
    <col min="2" max="2" width="8" customWidth="1"/>
    <col min="3" max="3" width="14" customWidth="1"/>
    <col min="4" max="4" width="11" customWidth="1"/>
    <col min="5" max="6" width="8" style="30" customWidth="1"/>
    <col min="7" max="7" width="9" style="30" customWidth="1"/>
    <col min="8" max="8" width="8" customWidth="1"/>
    <col min="9" max="10" width="9" style="30" customWidth="1"/>
    <col min="11" max="11" width="9" customWidth="1"/>
  </cols>
  <sheetData>
    <row r="1" spans="1:12" ht="15.75" customHeight="1" x14ac:dyDescent="0.3">
      <c r="A1" s="3" t="s">
        <v>54</v>
      </c>
    </row>
    <row r="2" spans="1:12" ht="15" customHeight="1" x14ac:dyDescent="0.3">
      <c r="A2" s="2" t="s">
        <v>55</v>
      </c>
    </row>
    <row r="3" spans="1:12" ht="15" thickBot="1" x14ac:dyDescent="0.35"/>
    <row r="4" spans="1:12" ht="34.200000000000003" customHeight="1" thickBot="1" x14ac:dyDescent="0.35">
      <c r="A4" s="16" t="s">
        <v>0</v>
      </c>
      <c r="B4" s="16" t="s">
        <v>1</v>
      </c>
      <c r="C4" s="16" t="s">
        <v>2</v>
      </c>
      <c r="D4" s="41" t="s">
        <v>3</v>
      </c>
      <c r="E4" s="48" t="s">
        <v>56</v>
      </c>
      <c r="F4" s="49" t="s">
        <v>4</v>
      </c>
      <c r="G4" s="49" t="s">
        <v>57</v>
      </c>
      <c r="H4" s="50" t="s">
        <v>58</v>
      </c>
      <c r="I4" s="60" t="s">
        <v>59</v>
      </c>
      <c r="J4" s="61" t="s">
        <v>60</v>
      </c>
      <c r="K4" s="62" t="s">
        <v>61</v>
      </c>
    </row>
    <row r="5" spans="1:12" ht="15" customHeight="1" x14ac:dyDescent="0.3">
      <c r="A5" s="114" t="s">
        <v>8</v>
      </c>
      <c r="B5" s="17"/>
      <c r="C5" s="17"/>
      <c r="D5" s="42"/>
      <c r="E5" s="51"/>
      <c r="F5" s="32"/>
      <c r="G5" s="31"/>
      <c r="H5" s="52"/>
      <c r="I5" s="51"/>
      <c r="J5" s="31"/>
      <c r="K5" s="19"/>
    </row>
    <row r="6" spans="1:12" ht="15" customHeight="1" thickBot="1" x14ac:dyDescent="0.35">
      <c r="A6" s="115"/>
      <c r="B6" s="20"/>
      <c r="C6" s="20"/>
      <c r="D6" s="43"/>
      <c r="E6" s="53"/>
      <c r="F6" s="34"/>
      <c r="G6" s="33"/>
      <c r="H6" s="54"/>
      <c r="I6" s="53"/>
      <c r="J6" s="33"/>
      <c r="K6" s="22"/>
      <c r="L6" t="s">
        <v>109</v>
      </c>
    </row>
    <row r="7" spans="1:12" ht="15" customHeight="1" x14ac:dyDescent="0.3">
      <c r="A7" s="116" t="s">
        <v>52</v>
      </c>
      <c r="B7" s="23"/>
      <c r="C7" s="23"/>
      <c r="D7" s="44"/>
      <c r="E7" s="55"/>
      <c r="F7" s="32"/>
      <c r="G7" s="35"/>
      <c r="H7" s="52"/>
      <c r="I7" s="55"/>
      <c r="J7" s="35"/>
      <c r="K7" s="24"/>
    </row>
    <row r="8" spans="1:12" ht="15" customHeight="1" x14ac:dyDescent="0.3">
      <c r="A8" s="117"/>
      <c r="B8" s="11"/>
      <c r="C8" s="11"/>
      <c r="D8" s="45"/>
      <c r="E8" s="56"/>
      <c r="F8" s="37"/>
      <c r="G8" s="36"/>
      <c r="H8" s="57"/>
      <c r="I8" s="56"/>
      <c r="J8" s="36"/>
      <c r="K8" s="25"/>
    </row>
    <row r="9" spans="1:12" ht="15" customHeight="1" thickBot="1" x14ac:dyDescent="0.35">
      <c r="A9" s="118"/>
      <c r="B9" s="27"/>
      <c r="C9" s="27"/>
      <c r="D9" s="46"/>
      <c r="E9" s="58"/>
      <c r="F9" s="34"/>
      <c r="G9" s="38"/>
      <c r="H9" s="54"/>
      <c r="I9" s="58"/>
      <c r="J9" s="38"/>
      <c r="K9" s="28"/>
    </row>
    <row r="10" spans="1:12" ht="15" customHeight="1" x14ac:dyDescent="0.3">
      <c r="A10" s="114" t="s">
        <v>7</v>
      </c>
      <c r="B10" s="17"/>
      <c r="C10" s="17"/>
      <c r="D10" s="42"/>
      <c r="E10" s="51"/>
      <c r="F10" s="32"/>
      <c r="G10" s="31"/>
      <c r="H10" s="52"/>
      <c r="I10" s="51"/>
      <c r="J10" s="31"/>
      <c r="K10" s="19"/>
    </row>
    <row r="11" spans="1:12" ht="15" customHeight="1" x14ac:dyDescent="0.3">
      <c r="A11" s="119"/>
      <c r="B11" s="8"/>
      <c r="C11" s="8"/>
      <c r="D11" s="47"/>
      <c r="E11" s="59"/>
      <c r="F11" s="37"/>
      <c r="G11" s="39"/>
      <c r="H11" s="57"/>
      <c r="I11" s="59"/>
      <c r="J11" s="39"/>
      <c r="K11" s="29"/>
    </row>
    <row r="12" spans="1:12" ht="15" customHeight="1" x14ac:dyDescent="0.3">
      <c r="A12" s="119"/>
      <c r="B12" s="8"/>
      <c r="C12" s="8"/>
      <c r="D12" s="47"/>
      <c r="E12" s="59"/>
      <c r="F12" s="37"/>
      <c r="G12" s="39"/>
      <c r="H12" s="57"/>
      <c r="I12" s="59"/>
      <c r="J12" s="39"/>
      <c r="K12" s="29"/>
    </row>
    <row r="13" spans="1:12" ht="15" customHeight="1" thickBot="1" x14ac:dyDescent="0.35">
      <c r="A13" s="115"/>
      <c r="B13" s="20"/>
      <c r="C13" s="20"/>
      <c r="D13" s="43"/>
      <c r="E13" s="53"/>
      <c r="F13" s="34"/>
      <c r="G13" s="33"/>
      <c r="H13" s="54"/>
      <c r="I13" s="53"/>
      <c r="J13" s="33"/>
      <c r="K13" s="22"/>
    </row>
    <row r="14" spans="1:12" ht="15" customHeight="1" x14ac:dyDescent="0.3">
      <c r="A14" s="116" t="s">
        <v>5</v>
      </c>
      <c r="B14" s="23"/>
      <c r="C14" s="23"/>
      <c r="D14" s="44"/>
      <c r="E14" s="55"/>
      <c r="F14" s="32"/>
      <c r="G14" s="35"/>
      <c r="H14" s="52"/>
      <c r="I14" s="55"/>
      <c r="J14" s="35"/>
      <c r="K14" s="24"/>
    </row>
    <row r="15" spans="1:12" ht="15" customHeight="1" thickBot="1" x14ac:dyDescent="0.35">
      <c r="A15" s="118"/>
      <c r="B15" s="27"/>
      <c r="C15" s="27"/>
      <c r="D15" s="46"/>
      <c r="E15" s="58"/>
      <c r="F15" s="34"/>
      <c r="G15" s="38"/>
      <c r="H15" s="54"/>
      <c r="I15" s="58"/>
      <c r="J15" s="38"/>
      <c r="K15" s="28"/>
    </row>
    <row r="16" spans="1:12" ht="15" customHeight="1" x14ac:dyDescent="0.3">
      <c r="A16" s="114" t="s">
        <v>6</v>
      </c>
      <c r="B16" s="17"/>
      <c r="C16" s="17"/>
      <c r="D16" s="42"/>
      <c r="E16" s="51"/>
      <c r="F16" s="32"/>
      <c r="G16" s="31"/>
      <c r="H16" s="52"/>
      <c r="I16" s="51"/>
      <c r="J16" s="31"/>
      <c r="K16" s="19"/>
    </row>
    <row r="17" spans="1:11" ht="15" customHeight="1" thickBot="1" x14ac:dyDescent="0.35">
      <c r="A17" s="115"/>
      <c r="B17" s="20"/>
      <c r="C17" s="20"/>
      <c r="D17" s="43"/>
      <c r="E17" s="53"/>
      <c r="F17" s="34"/>
      <c r="G17" s="33"/>
      <c r="H17" s="54"/>
      <c r="I17" s="53"/>
      <c r="J17" s="33"/>
      <c r="K17" s="22"/>
    </row>
    <row r="18" spans="1:11" ht="15" customHeight="1" x14ac:dyDescent="0.3">
      <c r="B18" s="6" t="s">
        <v>53</v>
      </c>
      <c r="G18" s="40">
        <f>SUM(G5:G17)</f>
        <v>0</v>
      </c>
      <c r="I18" s="40">
        <f>SUM(I5:I17)</f>
        <v>0</v>
      </c>
      <c r="J18" s="40">
        <f>SUM(J5:J17)</f>
        <v>0</v>
      </c>
    </row>
  </sheetData>
  <mergeCells count="5">
    <mergeCell ref="A5:A6"/>
    <mergeCell ref="A7:A9"/>
    <mergeCell ref="A10:A13"/>
    <mergeCell ref="A14:A15"/>
    <mergeCell ref="A16:A17"/>
  </mergeCells>
  <conditionalFormatting sqref="H5:H17">
    <cfRule type="cellIs" dxfId="47" priority="2" operator="equal">
      <formula>1</formula>
    </cfRule>
    <cfRule type="cellIs" dxfId="46" priority="3" operator="lessThan">
      <formula>1</formula>
    </cfRule>
    <cfRule type="cellIs" dxfId="45" priority="4" operator="greaterThan">
      <formula>1</formula>
    </cfRule>
  </conditionalFormatting>
  <conditionalFormatting sqref="K5:K17">
    <cfRule type="cellIs" dxfId="44" priority="5" operator="equal">
      <formula>1</formula>
    </cfRule>
    <cfRule type="cellIs" dxfId="43" priority="6" operator="lessThan">
      <formula>1</formula>
    </cfRule>
    <cfRule type="cellIs" dxfId="42" priority="7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showGridLines="0"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J24" sqref="J24"/>
    </sheetView>
  </sheetViews>
  <sheetFormatPr defaultColWidth="8.6640625" defaultRowHeight="14.4" x14ac:dyDescent="0.3"/>
  <cols>
    <col min="1" max="1" width="10" customWidth="1"/>
    <col min="2" max="2" width="8" customWidth="1"/>
    <col min="3" max="3" width="14" customWidth="1"/>
    <col min="4" max="4" width="11" customWidth="1"/>
    <col min="5" max="6" width="8" style="30" customWidth="1"/>
    <col min="7" max="7" width="9" style="30" customWidth="1"/>
    <col min="8" max="8" width="8" customWidth="1"/>
    <col min="9" max="10" width="9" style="30" customWidth="1"/>
    <col min="11" max="11" width="9" customWidth="1"/>
    <col min="12" max="13" width="9" style="30" customWidth="1"/>
    <col min="14" max="14" width="9" customWidth="1"/>
    <col min="15" max="16" width="9" style="30" customWidth="1"/>
    <col min="17" max="17" width="9" customWidth="1"/>
    <col min="18" max="19" width="9" style="30" customWidth="1"/>
    <col min="20" max="20" width="9" customWidth="1"/>
  </cols>
  <sheetData>
    <row r="1" spans="1:20" ht="15.75" customHeight="1" x14ac:dyDescent="0.3">
      <c r="A1" s="3" t="s">
        <v>62</v>
      </c>
    </row>
    <row r="2" spans="1:20" ht="15" customHeight="1" x14ac:dyDescent="0.3">
      <c r="A2" s="2" t="s">
        <v>55</v>
      </c>
    </row>
    <row r="3" spans="1:20" ht="15" thickBot="1" x14ac:dyDescent="0.35"/>
    <row r="4" spans="1:20" ht="34.5" customHeight="1" thickBot="1" x14ac:dyDescent="0.35">
      <c r="A4" s="16" t="s">
        <v>0</v>
      </c>
      <c r="B4" s="16" t="s">
        <v>1</v>
      </c>
      <c r="C4" s="16" t="s">
        <v>2</v>
      </c>
      <c r="D4" s="41" t="s">
        <v>3</v>
      </c>
      <c r="E4" s="48" t="s">
        <v>56</v>
      </c>
      <c r="F4" s="49" t="s">
        <v>4</v>
      </c>
      <c r="G4" s="49" t="s">
        <v>57</v>
      </c>
      <c r="H4" s="50" t="s">
        <v>58</v>
      </c>
      <c r="I4" s="60" t="s">
        <v>63</v>
      </c>
      <c r="J4" s="61" t="s">
        <v>64</v>
      </c>
      <c r="K4" s="62" t="s">
        <v>65</v>
      </c>
      <c r="L4" s="63" t="s">
        <v>66</v>
      </c>
      <c r="M4" s="64" t="s">
        <v>67</v>
      </c>
      <c r="N4" s="65" t="s">
        <v>68</v>
      </c>
      <c r="O4" s="66" t="s">
        <v>69</v>
      </c>
      <c r="P4" s="67" t="s">
        <v>70</v>
      </c>
      <c r="Q4" s="68" t="s">
        <v>71</v>
      </c>
      <c r="R4" s="69" t="s">
        <v>72</v>
      </c>
      <c r="S4" s="70" t="s">
        <v>73</v>
      </c>
      <c r="T4" s="71" t="s">
        <v>74</v>
      </c>
    </row>
    <row r="5" spans="1:20" ht="15" customHeight="1" x14ac:dyDescent="0.3">
      <c r="A5" s="114" t="s">
        <v>8</v>
      </c>
      <c r="B5" s="17"/>
      <c r="C5" s="17"/>
      <c r="D5" s="42"/>
      <c r="E5" s="51"/>
      <c r="F5" s="32"/>
      <c r="G5" s="31"/>
      <c r="H5" s="52"/>
      <c r="I5" s="51"/>
      <c r="J5" s="31"/>
      <c r="K5" s="19"/>
      <c r="L5" s="51"/>
      <c r="M5" s="31"/>
      <c r="N5" s="19"/>
      <c r="O5" s="51"/>
      <c r="P5" s="31"/>
      <c r="Q5" s="19"/>
      <c r="R5" s="51"/>
      <c r="S5" s="31"/>
      <c r="T5" s="19"/>
    </row>
    <row r="6" spans="1:20" ht="15" customHeight="1" thickBot="1" x14ac:dyDescent="0.35">
      <c r="A6" s="115"/>
      <c r="B6" s="20"/>
      <c r="C6" s="20"/>
      <c r="D6" s="43"/>
      <c r="E6" s="53"/>
      <c r="F6" s="34"/>
      <c r="G6" s="33"/>
      <c r="H6" s="54"/>
      <c r="I6" s="53"/>
      <c r="J6" s="33"/>
      <c r="K6" s="22"/>
      <c r="L6" s="53"/>
      <c r="M6" s="33"/>
      <c r="N6" s="22"/>
      <c r="O6" s="53"/>
      <c r="P6" s="33"/>
      <c r="Q6" s="22"/>
      <c r="R6" s="53"/>
      <c r="S6" s="33"/>
      <c r="T6" s="22"/>
    </row>
    <row r="7" spans="1:20" ht="15" customHeight="1" x14ac:dyDescent="0.3">
      <c r="A7" s="116" t="s">
        <v>52</v>
      </c>
      <c r="B7" s="23"/>
      <c r="C7" s="23"/>
      <c r="D7" s="44"/>
      <c r="E7" s="55"/>
      <c r="F7" s="32"/>
      <c r="G7" s="35"/>
      <c r="H7" s="52"/>
      <c r="I7" s="55"/>
      <c r="J7" s="35"/>
      <c r="K7" s="24"/>
      <c r="L7" s="55"/>
      <c r="M7" s="35"/>
      <c r="N7" s="24"/>
      <c r="O7" s="55"/>
      <c r="P7" s="35"/>
      <c r="Q7" s="24"/>
      <c r="R7" s="55"/>
      <c r="S7" s="35"/>
      <c r="T7" s="24"/>
    </row>
    <row r="8" spans="1:20" ht="15" customHeight="1" x14ac:dyDescent="0.3">
      <c r="A8" s="117"/>
      <c r="B8" s="11"/>
      <c r="C8" s="11"/>
      <c r="D8" s="45"/>
      <c r="E8" s="56"/>
      <c r="F8" s="37"/>
      <c r="G8" s="36"/>
      <c r="H8" s="57"/>
      <c r="I8" s="56"/>
      <c r="J8" s="36"/>
      <c r="K8" s="25"/>
      <c r="L8" s="56"/>
      <c r="M8" s="36"/>
      <c r="N8" s="25"/>
      <c r="O8" s="56"/>
      <c r="P8" s="36"/>
      <c r="Q8" s="25"/>
      <c r="R8" s="56"/>
      <c r="S8" s="36"/>
      <c r="T8" s="25"/>
    </row>
    <row r="9" spans="1:20" ht="15" customHeight="1" thickBot="1" x14ac:dyDescent="0.35">
      <c r="A9" s="118"/>
      <c r="B9" s="27"/>
      <c r="C9" s="27"/>
      <c r="D9" s="46"/>
      <c r="E9" s="58"/>
      <c r="F9" s="34"/>
      <c r="G9" s="38"/>
      <c r="H9" s="54"/>
      <c r="I9" s="58"/>
      <c r="J9" s="38"/>
      <c r="K9" s="28"/>
      <c r="L9" s="58"/>
      <c r="M9" s="38"/>
      <c r="N9" s="28"/>
      <c r="O9" s="58"/>
      <c r="P9" s="38"/>
      <c r="Q9" s="28"/>
      <c r="R9" s="58"/>
      <c r="S9" s="38"/>
      <c r="T9" s="28"/>
    </row>
    <row r="10" spans="1:20" ht="15" customHeight="1" x14ac:dyDescent="0.3">
      <c r="A10" s="114" t="s">
        <v>7</v>
      </c>
      <c r="B10" s="17"/>
      <c r="C10" s="17"/>
      <c r="D10" s="42"/>
      <c r="E10" s="51"/>
      <c r="F10" s="32"/>
      <c r="G10" s="31"/>
      <c r="H10" s="52"/>
      <c r="I10" s="51"/>
      <c r="J10" s="31"/>
      <c r="K10" s="19"/>
      <c r="L10" s="51"/>
      <c r="M10" s="31"/>
      <c r="N10" s="19"/>
      <c r="O10" s="51"/>
      <c r="P10" s="31"/>
      <c r="Q10" s="19"/>
      <c r="R10" s="51"/>
      <c r="S10" s="31"/>
      <c r="T10" s="19"/>
    </row>
    <row r="11" spans="1:20" ht="15" customHeight="1" thickBot="1" x14ac:dyDescent="0.35">
      <c r="A11" s="115"/>
      <c r="B11" s="20"/>
      <c r="C11" s="20"/>
      <c r="D11" s="43"/>
      <c r="E11" s="53"/>
      <c r="F11" s="34"/>
      <c r="G11" s="33"/>
      <c r="H11" s="54"/>
      <c r="I11" s="53"/>
      <c r="J11" s="33"/>
      <c r="K11" s="22"/>
      <c r="L11" s="53"/>
      <c r="M11" s="33"/>
      <c r="N11" s="22"/>
      <c r="O11" s="53"/>
      <c r="P11" s="33"/>
      <c r="Q11" s="22"/>
      <c r="R11" s="53"/>
      <c r="S11" s="33"/>
      <c r="T11" s="22"/>
    </row>
    <row r="12" spans="1:20" ht="15" customHeight="1" x14ac:dyDescent="0.3">
      <c r="A12" s="116" t="s">
        <v>5</v>
      </c>
      <c r="B12" s="23"/>
      <c r="C12" s="23"/>
      <c r="D12" s="44"/>
      <c r="E12" s="55"/>
      <c r="F12" s="32"/>
      <c r="G12" s="35"/>
      <c r="H12" s="52"/>
      <c r="I12" s="55"/>
      <c r="J12" s="35"/>
      <c r="K12" s="24"/>
      <c r="L12" s="55"/>
      <c r="M12" s="35"/>
      <c r="N12" s="24"/>
      <c r="O12" s="55"/>
      <c r="P12" s="35"/>
      <c r="Q12" s="24"/>
      <c r="R12" s="55"/>
      <c r="S12" s="35"/>
      <c r="T12" s="24"/>
    </row>
    <row r="13" spans="1:20" ht="15" customHeight="1" x14ac:dyDescent="0.3">
      <c r="A13" s="117"/>
      <c r="B13" s="11"/>
      <c r="C13" s="11"/>
      <c r="D13" s="45"/>
      <c r="E13" s="56"/>
      <c r="F13" s="37"/>
      <c r="G13" s="36"/>
      <c r="H13" s="57"/>
      <c r="I13" s="56"/>
      <c r="J13" s="36"/>
      <c r="K13" s="25"/>
      <c r="L13" s="56"/>
      <c r="M13" s="36"/>
      <c r="N13" s="25"/>
      <c r="O13" s="56"/>
      <c r="P13" s="36"/>
      <c r="Q13" s="25"/>
      <c r="R13" s="110"/>
      <c r="S13" s="111"/>
      <c r="T13" s="25"/>
    </row>
    <row r="14" spans="1:20" ht="15" customHeight="1" thickBot="1" x14ac:dyDescent="0.35">
      <c r="A14" s="118"/>
      <c r="B14" s="27"/>
      <c r="C14" s="27"/>
      <c r="D14" s="46"/>
      <c r="E14" s="58"/>
      <c r="F14" s="34"/>
      <c r="G14" s="38"/>
      <c r="H14" s="54"/>
      <c r="I14" s="58"/>
      <c r="J14" s="38"/>
      <c r="K14" s="28"/>
      <c r="L14" s="58"/>
      <c r="M14" s="38"/>
      <c r="N14" s="28"/>
      <c r="O14" s="58"/>
      <c r="P14" s="38"/>
      <c r="Q14" s="28"/>
      <c r="R14" s="58"/>
      <c r="S14" s="38"/>
      <c r="T14" s="28"/>
    </row>
    <row r="15" spans="1:20" ht="15" customHeight="1" x14ac:dyDescent="0.3">
      <c r="A15" s="114" t="s">
        <v>6</v>
      </c>
      <c r="B15" s="17"/>
      <c r="C15" s="17"/>
      <c r="D15" s="42"/>
      <c r="E15" s="51"/>
      <c r="F15" s="32"/>
      <c r="G15" s="31"/>
      <c r="H15" s="52"/>
      <c r="I15" s="51"/>
      <c r="J15" s="31"/>
      <c r="K15" s="19"/>
      <c r="L15" s="51"/>
      <c r="M15" s="31"/>
      <c r="N15" s="19"/>
      <c r="O15" s="51"/>
      <c r="P15" s="31"/>
      <c r="Q15" s="19"/>
      <c r="R15" s="51"/>
      <c r="S15" s="31"/>
      <c r="T15" s="19"/>
    </row>
    <row r="16" spans="1:20" ht="15" customHeight="1" thickBot="1" x14ac:dyDescent="0.35">
      <c r="A16" s="115"/>
      <c r="B16" s="20"/>
      <c r="C16" s="20"/>
      <c r="D16" s="43"/>
      <c r="E16" s="53"/>
      <c r="F16" s="34"/>
      <c r="G16" s="33"/>
      <c r="H16" s="54"/>
      <c r="I16" s="53"/>
      <c r="J16" s="33"/>
      <c r="K16" s="22"/>
      <c r="L16" s="53"/>
      <c r="M16" s="33"/>
      <c r="N16" s="22"/>
      <c r="O16" s="53"/>
      <c r="P16" s="33"/>
      <c r="Q16" s="22"/>
      <c r="R16" s="112"/>
      <c r="S16" s="113"/>
      <c r="T16" s="22"/>
    </row>
    <row r="17" spans="2:19" ht="15" customHeight="1" x14ac:dyDescent="0.3">
      <c r="B17" s="6" t="s">
        <v>53</v>
      </c>
      <c r="G17" s="40">
        <f>SUM(G5:G16)</f>
        <v>0</v>
      </c>
      <c r="I17" s="40">
        <f>SUM(I5:I16)</f>
        <v>0</v>
      </c>
      <c r="J17" s="40">
        <f>SUM(J5:J16)</f>
        <v>0</v>
      </c>
      <c r="L17" s="40">
        <f>SUM(L5:L16)</f>
        <v>0</v>
      </c>
      <c r="M17" s="40">
        <f>SUM(M5:M16)</f>
        <v>0</v>
      </c>
      <c r="O17" s="40">
        <f>SUM(O5:O16)</f>
        <v>0</v>
      </c>
      <c r="P17" s="40">
        <f>SUM(P5:P16)</f>
        <v>0</v>
      </c>
      <c r="R17" s="40">
        <f>SUM(R5:R16)</f>
        <v>0</v>
      </c>
      <c r="S17" s="40">
        <f>SUM(S5:S16)</f>
        <v>0</v>
      </c>
    </row>
  </sheetData>
  <mergeCells count="5">
    <mergeCell ref="A5:A6"/>
    <mergeCell ref="A7:A9"/>
    <mergeCell ref="A10:A11"/>
    <mergeCell ref="A12:A14"/>
    <mergeCell ref="A15:A16"/>
  </mergeCells>
  <conditionalFormatting sqref="H5:H16">
    <cfRule type="cellIs" dxfId="41" priority="2" operator="equal">
      <formula>1</formula>
    </cfRule>
    <cfRule type="cellIs" dxfId="40" priority="3" operator="lessThan">
      <formula>1</formula>
    </cfRule>
    <cfRule type="cellIs" dxfId="39" priority="4" operator="greaterThan">
      <formula>1</formula>
    </cfRule>
  </conditionalFormatting>
  <conditionalFormatting sqref="K5:K16">
    <cfRule type="cellIs" dxfId="38" priority="5" operator="equal">
      <formula>1</formula>
    </cfRule>
    <cfRule type="cellIs" dxfId="37" priority="6" operator="lessThan">
      <formula>1</formula>
    </cfRule>
    <cfRule type="cellIs" dxfId="36" priority="7" operator="greaterThan">
      <formula>1</formula>
    </cfRule>
  </conditionalFormatting>
  <conditionalFormatting sqref="N5:N16">
    <cfRule type="cellIs" dxfId="35" priority="8" operator="equal">
      <formula>1</formula>
    </cfRule>
    <cfRule type="cellIs" dxfId="34" priority="9" operator="lessThan">
      <formula>1</formula>
    </cfRule>
    <cfRule type="cellIs" dxfId="33" priority="10" operator="greaterThan">
      <formula>1</formula>
    </cfRule>
  </conditionalFormatting>
  <conditionalFormatting sqref="Q5:Q16">
    <cfRule type="cellIs" dxfId="32" priority="11" operator="equal">
      <formula>1</formula>
    </cfRule>
    <cfRule type="cellIs" dxfId="31" priority="12" operator="lessThan">
      <formula>1</formula>
    </cfRule>
    <cfRule type="cellIs" dxfId="30" priority="13" operator="greaterThan">
      <formula>1</formula>
    </cfRule>
  </conditionalFormatting>
  <conditionalFormatting sqref="T5:T16">
    <cfRule type="cellIs" dxfId="29" priority="14" operator="equal">
      <formula>1</formula>
    </cfRule>
    <cfRule type="cellIs" dxfId="28" priority="15" operator="lessThan">
      <formula>1</formula>
    </cfRule>
    <cfRule type="cellIs" dxfId="27" priority="16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"/>
  <sheetViews>
    <sheetView showGridLines="0"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I21" sqref="I21"/>
    </sheetView>
  </sheetViews>
  <sheetFormatPr defaultColWidth="8.6640625" defaultRowHeight="14.4" x14ac:dyDescent="0.3"/>
  <cols>
    <col min="1" max="1" width="10" customWidth="1"/>
    <col min="2" max="2" width="8" customWidth="1"/>
    <col min="3" max="3" width="14" customWidth="1"/>
    <col min="4" max="4" width="11" customWidth="1"/>
    <col min="5" max="6" width="8" style="30" customWidth="1"/>
    <col min="7" max="7" width="9" style="30" customWidth="1"/>
    <col min="8" max="8" width="8" customWidth="1"/>
    <col min="9" max="10" width="9" style="30" customWidth="1"/>
    <col min="11" max="11" width="9" customWidth="1"/>
    <col min="13" max="13" width="8.5546875" customWidth="1"/>
  </cols>
  <sheetData>
    <row r="1" spans="1:11" ht="15.75" customHeight="1" x14ac:dyDescent="0.3">
      <c r="A1" s="3" t="s">
        <v>75</v>
      </c>
    </row>
    <row r="2" spans="1:11" ht="15" customHeight="1" x14ac:dyDescent="0.3">
      <c r="A2" s="2" t="s">
        <v>55</v>
      </c>
    </row>
    <row r="3" spans="1:11" ht="15" thickBot="1" x14ac:dyDescent="0.35"/>
    <row r="4" spans="1:11" ht="34.5" customHeight="1" thickBot="1" x14ac:dyDescent="0.35">
      <c r="A4" s="16" t="s">
        <v>0</v>
      </c>
      <c r="B4" s="16" t="s">
        <v>1</v>
      </c>
      <c r="C4" s="16" t="s">
        <v>2</v>
      </c>
      <c r="D4" s="16" t="s">
        <v>3</v>
      </c>
      <c r="E4" s="16" t="s">
        <v>56</v>
      </c>
      <c r="F4" s="16" t="s">
        <v>4</v>
      </c>
      <c r="G4" s="16" t="s">
        <v>57</v>
      </c>
      <c r="H4" s="41" t="s">
        <v>58</v>
      </c>
      <c r="I4" s="60" t="s">
        <v>76</v>
      </c>
      <c r="J4" s="61" t="s">
        <v>77</v>
      </c>
      <c r="K4" s="62" t="s">
        <v>78</v>
      </c>
    </row>
    <row r="5" spans="1:11" ht="15" customHeight="1" x14ac:dyDescent="0.3">
      <c r="A5" s="114" t="s">
        <v>7</v>
      </c>
      <c r="B5" s="17"/>
      <c r="C5" s="17"/>
      <c r="D5" s="18"/>
      <c r="E5" s="31"/>
      <c r="F5" s="32"/>
      <c r="G5" s="31"/>
      <c r="H5" s="81"/>
      <c r="I5" s="51"/>
      <c r="J5" s="31"/>
      <c r="K5" s="19"/>
    </row>
    <row r="6" spans="1:11" ht="15" customHeight="1" thickBot="1" x14ac:dyDescent="0.35">
      <c r="A6" s="115"/>
      <c r="B6" s="20"/>
      <c r="C6" s="20"/>
      <c r="D6" s="21"/>
      <c r="E6" s="33"/>
      <c r="F6" s="34"/>
      <c r="G6" s="33"/>
      <c r="H6" s="82"/>
      <c r="I6" s="53"/>
      <c r="J6" s="33"/>
      <c r="K6" s="22"/>
    </row>
    <row r="7" spans="1:11" ht="15" customHeight="1" thickBot="1" x14ac:dyDescent="0.35">
      <c r="A7" s="26" t="s">
        <v>5</v>
      </c>
      <c r="B7" s="72"/>
      <c r="C7" s="72"/>
      <c r="D7" s="73"/>
      <c r="E7" s="92"/>
      <c r="F7" s="95"/>
      <c r="G7" s="92"/>
      <c r="H7" s="83"/>
      <c r="I7" s="91"/>
      <c r="J7" s="92"/>
      <c r="K7" s="74"/>
    </row>
    <row r="8" spans="1:11" ht="15" customHeight="1" thickBot="1" x14ac:dyDescent="0.35">
      <c r="A8" s="75" t="s">
        <v>6</v>
      </c>
      <c r="B8" s="76"/>
      <c r="C8" s="76"/>
      <c r="D8" s="77"/>
      <c r="E8" s="94"/>
      <c r="F8" s="96"/>
      <c r="G8" s="94"/>
      <c r="H8" s="84"/>
      <c r="I8" s="93"/>
      <c r="J8" s="94"/>
      <c r="K8" s="80"/>
    </row>
    <row r="9" spans="1:11" ht="15" customHeight="1" x14ac:dyDescent="0.3">
      <c r="B9" s="6" t="s">
        <v>53</v>
      </c>
      <c r="G9" s="40">
        <f>SUM(G5:G8)</f>
        <v>0</v>
      </c>
      <c r="I9" s="40">
        <f>SUM(I5:I8)</f>
        <v>0</v>
      </c>
      <c r="J9" s="40">
        <f>SUM(J5:J8)</f>
        <v>0</v>
      </c>
    </row>
  </sheetData>
  <mergeCells count="1">
    <mergeCell ref="A5:A6"/>
  </mergeCells>
  <conditionalFormatting sqref="H5:H8">
    <cfRule type="cellIs" dxfId="26" priority="2" operator="equal">
      <formula>1</formula>
    </cfRule>
    <cfRule type="cellIs" dxfId="25" priority="3" operator="lessThan">
      <formula>1</formula>
    </cfRule>
    <cfRule type="cellIs" dxfId="24" priority="4" operator="greaterThan">
      <formula>1</formula>
    </cfRule>
  </conditionalFormatting>
  <conditionalFormatting sqref="K5:K8">
    <cfRule type="cellIs" dxfId="23" priority="5" operator="equal">
      <formula>1</formula>
    </cfRule>
    <cfRule type="cellIs" dxfId="22" priority="6" operator="lessThan">
      <formula>1</formula>
    </cfRule>
    <cfRule type="cellIs" dxfId="21" priority="7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showGridLines="0"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B5" sqref="B5:K8"/>
    </sheetView>
  </sheetViews>
  <sheetFormatPr defaultColWidth="8.6640625" defaultRowHeight="14.4" x14ac:dyDescent="0.3"/>
  <cols>
    <col min="1" max="1" width="10" customWidth="1"/>
    <col min="2" max="2" width="8" customWidth="1"/>
    <col min="3" max="3" width="14" customWidth="1"/>
    <col min="4" max="4" width="11" customWidth="1"/>
    <col min="5" max="6" width="8" customWidth="1"/>
    <col min="7" max="7" width="9" customWidth="1"/>
    <col min="8" max="8" width="8" customWidth="1"/>
    <col min="9" max="10" width="9" style="30" customWidth="1"/>
    <col min="11" max="11" width="9" customWidth="1"/>
  </cols>
  <sheetData>
    <row r="1" spans="1:11" ht="15.75" customHeight="1" x14ac:dyDescent="0.3">
      <c r="A1" s="3" t="s">
        <v>79</v>
      </c>
    </row>
    <row r="2" spans="1:11" ht="15" customHeight="1" x14ac:dyDescent="0.3">
      <c r="A2" s="2" t="s">
        <v>55</v>
      </c>
    </row>
    <row r="3" spans="1:11" ht="15" thickBot="1" x14ac:dyDescent="0.35"/>
    <row r="4" spans="1:11" ht="23.25" customHeight="1" thickBot="1" x14ac:dyDescent="0.35">
      <c r="A4" s="16" t="s">
        <v>0</v>
      </c>
      <c r="B4" s="16" t="s">
        <v>1</v>
      </c>
      <c r="C4" s="16" t="s">
        <v>2</v>
      </c>
      <c r="D4" s="16" t="s">
        <v>3</v>
      </c>
      <c r="E4" s="16" t="s">
        <v>56</v>
      </c>
      <c r="F4" s="16" t="s">
        <v>4</v>
      </c>
      <c r="G4" s="16" t="s">
        <v>57</v>
      </c>
      <c r="H4" s="41" t="s">
        <v>58</v>
      </c>
      <c r="I4" s="60" t="s">
        <v>80</v>
      </c>
      <c r="J4" s="61" t="s">
        <v>81</v>
      </c>
      <c r="K4" s="62" t="s">
        <v>82</v>
      </c>
    </row>
    <row r="5" spans="1:11" ht="15" customHeight="1" thickBot="1" x14ac:dyDescent="0.35">
      <c r="A5" s="85" t="s">
        <v>8</v>
      </c>
      <c r="B5" s="76"/>
      <c r="C5" s="76"/>
      <c r="D5" s="77"/>
      <c r="E5" s="78"/>
      <c r="F5" s="79"/>
      <c r="G5" s="78"/>
      <c r="H5" s="84"/>
      <c r="I5" s="93"/>
      <c r="J5" s="94"/>
      <c r="K5" s="80"/>
    </row>
    <row r="6" spans="1:11" ht="15" customHeight="1" thickBot="1" x14ac:dyDescent="0.35">
      <c r="A6" s="86" t="s">
        <v>52</v>
      </c>
      <c r="B6" s="87"/>
      <c r="C6" s="87"/>
      <c r="D6" s="88"/>
      <c r="E6" s="89"/>
      <c r="F6" s="79"/>
      <c r="G6" s="89"/>
      <c r="H6" s="84"/>
      <c r="I6" s="97"/>
      <c r="J6" s="98"/>
      <c r="K6" s="90"/>
    </row>
    <row r="7" spans="1:11" ht="15" customHeight="1" thickBot="1" x14ac:dyDescent="0.35">
      <c r="A7" s="85" t="s">
        <v>7</v>
      </c>
      <c r="B7" s="76"/>
      <c r="C7" s="76"/>
      <c r="D7" s="77"/>
      <c r="E7" s="78"/>
      <c r="F7" s="79"/>
      <c r="G7" s="78"/>
      <c r="H7" s="84"/>
      <c r="I7" s="93"/>
      <c r="J7" s="94"/>
      <c r="K7" s="80"/>
    </row>
    <row r="8" spans="1:11" ht="15" customHeight="1" thickBot="1" x14ac:dyDescent="0.35">
      <c r="A8" s="86" t="s">
        <v>5</v>
      </c>
      <c r="B8" s="87"/>
      <c r="C8" s="87"/>
      <c r="D8" s="88"/>
      <c r="E8" s="89"/>
      <c r="F8" s="79"/>
      <c r="G8" s="89"/>
      <c r="H8" s="84"/>
      <c r="I8" s="97"/>
      <c r="J8" s="98"/>
      <c r="K8" s="90"/>
    </row>
    <row r="9" spans="1:11" ht="15" customHeight="1" x14ac:dyDescent="0.3">
      <c r="B9" s="6" t="s">
        <v>53</v>
      </c>
      <c r="G9" s="13">
        <f>SUM(G5:G8)</f>
        <v>0</v>
      </c>
      <c r="I9" s="40">
        <f>SUM(I5:I8)</f>
        <v>0</v>
      </c>
      <c r="J9" s="40">
        <f>SUM(J5:J8)</f>
        <v>0</v>
      </c>
    </row>
  </sheetData>
  <conditionalFormatting sqref="H5:H8">
    <cfRule type="cellIs" dxfId="20" priority="2" operator="equal">
      <formula>1</formula>
    </cfRule>
    <cfRule type="cellIs" dxfId="19" priority="3" operator="lessThan">
      <formula>1</formula>
    </cfRule>
    <cfRule type="cellIs" dxfId="18" priority="4" operator="greaterThan">
      <formula>1</formula>
    </cfRule>
  </conditionalFormatting>
  <conditionalFormatting sqref="K5:K8">
    <cfRule type="cellIs" dxfId="17" priority="5" operator="equal">
      <formula>1</formula>
    </cfRule>
    <cfRule type="cellIs" dxfId="16" priority="6" operator="lessThan">
      <formula>1</formula>
    </cfRule>
    <cfRule type="cellIs" dxfId="15" priority="7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4"/>
  <sheetViews>
    <sheetView showGridLines="0"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V22" sqref="V22"/>
    </sheetView>
  </sheetViews>
  <sheetFormatPr defaultColWidth="8.6640625" defaultRowHeight="14.4" x14ac:dyDescent="0.3"/>
  <cols>
    <col min="1" max="1" width="10" customWidth="1"/>
    <col min="2" max="2" width="8" customWidth="1"/>
    <col min="3" max="3" width="14" customWidth="1"/>
    <col min="4" max="4" width="11" customWidth="1"/>
    <col min="5" max="6" width="8" style="30" customWidth="1"/>
    <col min="7" max="7" width="9" style="30" customWidth="1"/>
    <col min="8" max="8" width="8" customWidth="1"/>
    <col min="9" max="10" width="9" style="30" customWidth="1"/>
    <col min="11" max="11" width="9" customWidth="1"/>
    <col min="12" max="13" width="9" style="30" customWidth="1"/>
    <col min="14" max="14" width="9" customWidth="1"/>
    <col min="15" max="16" width="9" style="30" customWidth="1"/>
    <col min="17" max="17" width="9" customWidth="1"/>
    <col min="18" max="19" width="9" style="30" customWidth="1"/>
    <col min="20" max="20" width="9" customWidth="1"/>
  </cols>
  <sheetData>
    <row r="1" spans="1:20" ht="15.75" customHeight="1" x14ac:dyDescent="0.3">
      <c r="A1" s="3" t="s">
        <v>83</v>
      </c>
    </row>
    <row r="2" spans="1:20" ht="15" customHeight="1" x14ac:dyDescent="0.3">
      <c r="A2" s="2" t="s">
        <v>55</v>
      </c>
    </row>
    <row r="3" spans="1:20" ht="15" thickBot="1" x14ac:dyDescent="0.35"/>
    <row r="4" spans="1:20" ht="34.5" customHeight="1" thickBot="1" x14ac:dyDescent="0.35">
      <c r="A4" s="16" t="s">
        <v>0</v>
      </c>
      <c r="B4" s="16" t="s">
        <v>1</v>
      </c>
      <c r="C4" s="16" t="s">
        <v>2</v>
      </c>
      <c r="D4" s="41" t="s">
        <v>3</v>
      </c>
      <c r="E4" s="48" t="s">
        <v>56</v>
      </c>
      <c r="F4" s="49" t="s">
        <v>4</v>
      </c>
      <c r="G4" s="49" t="s">
        <v>57</v>
      </c>
      <c r="H4" s="50" t="s">
        <v>58</v>
      </c>
      <c r="I4" s="60" t="s">
        <v>84</v>
      </c>
      <c r="J4" s="61" t="s">
        <v>85</v>
      </c>
      <c r="K4" s="62" t="s">
        <v>86</v>
      </c>
      <c r="L4" s="63" t="s">
        <v>87</v>
      </c>
      <c r="M4" s="64" t="s">
        <v>88</v>
      </c>
      <c r="N4" s="65" t="s">
        <v>89</v>
      </c>
      <c r="O4" s="66" t="s">
        <v>90</v>
      </c>
      <c r="P4" s="67" t="s">
        <v>91</v>
      </c>
      <c r="Q4" s="68" t="s">
        <v>92</v>
      </c>
      <c r="R4" s="69" t="s">
        <v>93</v>
      </c>
      <c r="S4" s="70" t="s">
        <v>94</v>
      </c>
      <c r="T4" s="71" t="s">
        <v>95</v>
      </c>
    </row>
    <row r="5" spans="1:20" ht="15" customHeight="1" x14ac:dyDescent="0.3">
      <c r="A5" s="114" t="s">
        <v>8</v>
      </c>
      <c r="B5" s="17"/>
      <c r="C5" s="17"/>
      <c r="D5" s="42"/>
      <c r="E5" s="51"/>
      <c r="F5" s="32"/>
      <c r="G5" s="31"/>
      <c r="H5" s="52"/>
      <c r="I5" s="51"/>
      <c r="J5" s="31"/>
      <c r="K5" s="19"/>
      <c r="L5" s="51"/>
      <c r="M5" s="31"/>
      <c r="N5" s="19"/>
      <c r="O5" s="51"/>
      <c r="P5" s="31"/>
      <c r="Q5" s="19"/>
      <c r="R5" s="51"/>
      <c r="S5" s="31"/>
      <c r="T5" s="19" t="str">
        <f t="shared" ref="T5:T33" si="0">IFERROR(S5/R5,"")</f>
        <v/>
      </c>
    </row>
    <row r="6" spans="1:20" ht="15" customHeight="1" x14ac:dyDescent="0.3">
      <c r="A6" s="119"/>
      <c r="B6" s="8"/>
      <c r="C6" s="8"/>
      <c r="D6" s="47"/>
      <c r="E6" s="59"/>
      <c r="F6" s="37"/>
      <c r="G6" s="39"/>
      <c r="H6" s="57"/>
      <c r="I6" s="59"/>
      <c r="J6" s="39"/>
      <c r="K6" s="29"/>
      <c r="L6" s="59"/>
      <c r="M6" s="39"/>
      <c r="N6" s="29"/>
      <c r="O6" s="59"/>
      <c r="P6" s="39"/>
      <c r="Q6" s="29"/>
      <c r="R6" s="59"/>
      <c r="S6" s="39"/>
      <c r="T6" s="29" t="str">
        <f t="shared" si="0"/>
        <v/>
      </c>
    </row>
    <row r="7" spans="1:20" ht="15" customHeight="1" x14ac:dyDescent="0.3">
      <c r="A7" s="119"/>
      <c r="B7" s="8"/>
      <c r="C7" s="8"/>
      <c r="D7" s="47"/>
      <c r="E7" s="59"/>
      <c r="F7" s="37"/>
      <c r="G7" s="39"/>
      <c r="H7" s="57"/>
      <c r="I7" s="59"/>
      <c r="J7" s="39"/>
      <c r="K7" s="29"/>
      <c r="L7" s="59"/>
      <c r="M7" s="39"/>
      <c r="N7" s="29"/>
      <c r="O7" s="59"/>
      <c r="P7" s="39"/>
      <c r="Q7" s="29"/>
      <c r="R7" s="59"/>
      <c r="S7" s="39"/>
      <c r="T7" s="29" t="str">
        <f t="shared" si="0"/>
        <v/>
      </c>
    </row>
    <row r="8" spans="1:20" ht="15" customHeight="1" thickBot="1" x14ac:dyDescent="0.35">
      <c r="A8" s="115"/>
      <c r="B8" s="20"/>
      <c r="C8" s="20"/>
      <c r="D8" s="43"/>
      <c r="E8" s="53"/>
      <c r="F8" s="34"/>
      <c r="G8" s="33"/>
      <c r="H8" s="54"/>
      <c r="I8" s="53"/>
      <c r="J8" s="33"/>
      <c r="K8" s="22"/>
      <c r="L8" s="53"/>
      <c r="M8" s="33"/>
      <c r="N8" s="22"/>
      <c r="O8" s="53"/>
      <c r="P8" s="33"/>
      <c r="Q8" s="22"/>
      <c r="R8" s="53"/>
      <c r="S8" s="33"/>
      <c r="T8" s="22" t="str">
        <f t="shared" si="0"/>
        <v/>
      </c>
    </row>
    <row r="9" spans="1:20" ht="15" customHeight="1" x14ac:dyDescent="0.3">
      <c r="A9" s="116" t="s">
        <v>52</v>
      </c>
      <c r="B9" s="23"/>
      <c r="C9" s="23"/>
      <c r="D9" s="44"/>
      <c r="E9" s="55"/>
      <c r="F9" s="32"/>
      <c r="G9" s="35"/>
      <c r="H9" s="52"/>
      <c r="I9" s="55"/>
      <c r="J9" s="35"/>
      <c r="K9" s="24"/>
      <c r="L9" s="55"/>
      <c r="M9" s="35"/>
      <c r="N9" s="24"/>
      <c r="O9" s="55"/>
      <c r="P9" s="35"/>
      <c r="Q9" s="24"/>
      <c r="R9" s="55"/>
      <c r="S9" s="35"/>
      <c r="T9" s="24" t="str">
        <f t="shared" si="0"/>
        <v/>
      </c>
    </row>
    <row r="10" spans="1:20" ht="15" customHeight="1" x14ac:dyDescent="0.3">
      <c r="A10" s="117"/>
      <c r="B10" s="11"/>
      <c r="C10" s="11"/>
      <c r="D10" s="45"/>
      <c r="E10" s="56"/>
      <c r="F10" s="37"/>
      <c r="G10" s="36"/>
      <c r="H10" s="57"/>
      <c r="I10" s="56"/>
      <c r="J10" s="36"/>
      <c r="K10" s="25"/>
      <c r="L10" s="56"/>
      <c r="M10" s="36"/>
      <c r="N10" s="25"/>
      <c r="O10" s="56"/>
      <c r="P10" s="36"/>
      <c r="Q10" s="25"/>
      <c r="R10" s="56"/>
      <c r="S10" s="36"/>
      <c r="T10" s="25" t="str">
        <f t="shared" si="0"/>
        <v/>
      </c>
    </row>
    <row r="11" spans="1:20" ht="15" customHeight="1" x14ac:dyDescent="0.3">
      <c r="A11" s="117"/>
      <c r="B11" s="11"/>
      <c r="C11" s="11"/>
      <c r="D11" s="45"/>
      <c r="E11" s="56"/>
      <c r="F11" s="37"/>
      <c r="G11" s="36"/>
      <c r="H11" s="57"/>
      <c r="I11" s="56"/>
      <c r="J11" s="36"/>
      <c r="K11" s="25"/>
      <c r="L11" s="56"/>
      <c r="M11" s="36"/>
      <c r="N11" s="25"/>
      <c r="O11" s="56"/>
      <c r="P11" s="36"/>
      <c r="Q11" s="25"/>
      <c r="R11" s="56"/>
      <c r="S11" s="36"/>
      <c r="T11" s="25" t="str">
        <f t="shared" si="0"/>
        <v/>
      </c>
    </row>
    <row r="12" spans="1:20" ht="15" customHeight="1" x14ac:dyDescent="0.3">
      <c r="A12" s="117"/>
      <c r="B12" s="11"/>
      <c r="C12" s="11"/>
      <c r="D12" s="45"/>
      <c r="E12" s="56"/>
      <c r="F12" s="37"/>
      <c r="G12" s="36"/>
      <c r="H12" s="57"/>
      <c r="I12" s="56"/>
      <c r="J12" s="36"/>
      <c r="K12" s="25"/>
      <c r="L12" s="56"/>
      <c r="M12" s="36"/>
      <c r="N12" s="25"/>
      <c r="O12" s="56"/>
      <c r="P12" s="36"/>
      <c r="Q12" s="25"/>
      <c r="R12" s="56"/>
      <c r="S12" s="36"/>
      <c r="T12" s="25" t="str">
        <f t="shared" si="0"/>
        <v/>
      </c>
    </row>
    <row r="13" spans="1:20" ht="15" customHeight="1" x14ac:dyDescent="0.3">
      <c r="A13" s="117"/>
      <c r="B13" s="11"/>
      <c r="C13" s="11"/>
      <c r="D13" s="45"/>
      <c r="E13" s="56"/>
      <c r="F13" s="37"/>
      <c r="G13" s="36"/>
      <c r="H13" s="57"/>
      <c r="I13" s="56"/>
      <c r="J13" s="36"/>
      <c r="K13" s="25"/>
      <c r="L13" s="56"/>
      <c r="M13" s="36"/>
      <c r="N13" s="25"/>
      <c r="O13" s="56"/>
      <c r="P13" s="36"/>
      <c r="Q13" s="25"/>
      <c r="R13" s="56"/>
      <c r="S13" s="36"/>
      <c r="T13" s="25" t="str">
        <f t="shared" si="0"/>
        <v/>
      </c>
    </row>
    <row r="14" spans="1:20" ht="15" customHeight="1" thickBot="1" x14ac:dyDescent="0.35">
      <c r="A14" s="118"/>
      <c r="B14" s="27"/>
      <c r="C14" s="27"/>
      <c r="D14" s="46"/>
      <c r="E14" s="58"/>
      <c r="F14" s="34"/>
      <c r="G14" s="38"/>
      <c r="H14" s="54"/>
      <c r="I14" s="58"/>
      <c r="J14" s="38"/>
      <c r="K14" s="28"/>
      <c r="L14" s="58"/>
      <c r="M14" s="38"/>
      <c r="N14" s="28"/>
      <c r="O14" s="58"/>
      <c r="P14" s="38"/>
      <c r="Q14" s="28"/>
      <c r="R14" s="58"/>
      <c r="S14" s="38"/>
      <c r="T14" s="28" t="str">
        <f t="shared" si="0"/>
        <v/>
      </c>
    </row>
    <row r="15" spans="1:20" ht="15" customHeight="1" x14ac:dyDescent="0.3">
      <c r="A15" s="114" t="s">
        <v>7</v>
      </c>
      <c r="B15" s="17"/>
      <c r="C15" s="17"/>
      <c r="D15" s="42"/>
      <c r="E15" s="51"/>
      <c r="F15" s="32"/>
      <c r="G15" s="31"/>
      <c r="H15" s="52"/>
      <c r="I15" s="51"/>
      <c r="J15" s="31"/>
      <c r="K15" s="19"/>
      <c r="L15" s="51"/>
      <c r="M15" s="31"/>
      <c r="N15" s="19"/>
      <c r="O15" s="51"/>
      <c r="P15" s="31"/>
      <c r="Q15" s="19"/>
      <c r="R15" s="51"/>
      <c r="S15" s="31"/>
      <c r="T15" s="19" t="str">
        <f t="shared" si="0"/>
        <v/>
      </c>
    </row>
    <row r="16" spans="1:20" ht="15" customHeight="1" x14ac:dyDescent="0.3">
      <c r="A16" s="119"/>
      <c r="B16" s="8"/>
      <c r="C16" s="8"/>
      <c r="D16" s="47"/>
      <c r="E16" s="59"/>
      <c r="F16" s="37"/>
      <c r="G16" s="39"/>
      <c r="H16" s="57"/>
      <c r="I16" s="59"/>
      <c r="J16" s="39"/>
      <c r="K16" s="29"/>
      <c r="L16" s="59"/>
      <c r="M16" s="39"/>
      <c r="N16" s="29"/>
      <c r="O16" s="59"/>
      <c r="P16" s="39"/>
      <c r="Q16" s="29"/>
      <c r="R16" s="59"/>
      <c r="S16" s="39"/>
      <c r="T16" s="29" t="str">
        <f t="shared" si="0"/>
        <v/>
      </c>
    </row>
    <row r="17" spans="1:20" ht="15" customHeight="1" x14ac:dyDescent="0.3">
      <c r="A17" s="119"/>
      <c r="B17" s="8"/>
      <c r="C17" s="8"/>
      <c r="D17" s="47"/>
      <c r="E17" s="59"/>
      <c r="F17" s="37"/>
      <c r="G17" s="39"/>
      <c r="H17" s="57"/>
      <c r="I17" s="59"/>
      <c r="J17" s="39"/>
      <c r="K17" s="29"/>
      <c r="L17" s="59"/>
      <c r="M17" s="39"/>
      <c r="N17" s="29"/>
      <c r="O17" s="59"/>
      <c r="P17" s="39"/>
      <c r="Q17" s="29"/>
      <c r="R17" s="59"/>
      <c r="S17" s="39"/>
      <c r="T17" s="29" t="str">
        <f t="shared" si="0"/>
        <v/>
      </c>
    </row>
    <row r="18" spans="1:20" ht="15" customHeight="1" x14ac:dyDescent="0.3">
      <c r="A18" s="119"/>
      <c r="B18" s="8"/>
      <c r="C18" s="8"/>
      <c r="D18" s="47"/>
      <c r="E18" s="59"/>
      <c r="F18" s="37"/>
      <c r="G18" s="39"/>
      <c r="H18" s="57"/>
      <c r="I18" s="59"/>
      <c r="J18" s="39"/>
      <c r="K18" s="29"/>
      <c r="L18" s="59"/>
      <c r="M18" s="39"/>
      <c r="N18" s="29"/>
      <c r="O18" s="59"/>
      <c r="P18" s="39"/>
      <c r="Q18" s="29"/>
      <c r="R18" s="59"/>
      <c r="S18" s="39"/>
      <c r="T18" s="29" t="str">
        <f t="shared" si="0"/>
        <v/>
      </c>
    </row>
    <row r="19" spans="1:20" ht="15" customHeight="1" x14ac:dyDescent="0.3">
      <c r="A19" s="119"/>
      <c r="B19" s="8"/>
      <c r="C19" s="8"/>
      <c r="D19" s="47"/>
      <c r="E19" s="59"/>
      <c r="F19" s="37"/>
      <c r="G19" s="39"/>
      <c r="H19" s="57"/>
      <c r="I19" s="59"/>
      <c r="J19" s="39"/>
      <c r="K19" s="29"/>
      <c r="L19" s="59"/>
      <c r="M19" s="39"/>
      <c r="N19" s="29"/>
      <c r="O19" s="59"/>
      <c r="P19" s="39"/>
      <c r="Q19" s="29"/>
      <c r="R19" s="59"/>
      <c r="S19" s="39"/>
      <c r="T19" s="29" t="str">
        <f t="shared" si="0"/>
        <v/>
      </c>
    </row>
    <row r="20" spans="1:20" ht="15" customHeight="1" x14ac:dyDescent="0.3">
      <c r="A20" s="119"/>
      <c r="B20" s="8"/>
      <c r="C20" s="8"/>
      <c r="D20" s="47"/>
      <c r="E20" s="59"/>
      <c r="F20" s="37"/>
      <c r="G20" s="39"/>
      <c r="H20" s="57"/>
      <c r="I20" s="59"/>
      <c r="J20" s="39"/>
      <c r="K20" s="29"/>
      <c r="L20" s="59"/>
      <c r="M20" s="39"/>
      <c r="N20" s="29"/>
      <c r="O20" s="59"/>
      <c r="P20" s="39"/>
      <c r="Q20" s="29"/>
      <c r="R20" s="59"/>
      <c r="S20" s="39"/>
      <c r="T20" s="29" t="str">
        <f t="shared" si="0"/>
        <v/>
      </c>
    </row>
    <row r="21" spans="1:20" ht="15" customHeight="1" x14ac:dyDescent="0.3">
      <c r="A21" s="119"/>
      <c r="B21" s="8"/>
      <c r="C21" s="8"/>
      <c r="D21" s="47"/>
      <c r="E21" s="59"/>
      <c r="F21" s="37"/>
      <c r="G21" s="39"/>
      <c r="H21" s="57"/>
      <c r="I21" s="59"/>
      <c r="J21" s="39"/>
      <c r="K21" s="29"/>
      <c r="L21" s="59"/>
      <c r="M21" s="39"/>
      <c r="N21" s="29"/>
      <c r="O21" s="59"/>
      <c r="P21" s="39"/>
      <c r="Q21" s="29"/>
      <c r="R21" s="59"/>
      <c r="S21" s="39"/>
      <c r="T21" s="29" t="str">
        <f t="shared" si="0"/>
        <v/>
      </c>
    </row>
    <row r="22" spans="1:20" ht="15" customHeight="1" thickBot="1" x14ac:dyDescent="0.35">
      <c r="A22" s="115"/>
      <c r="B22" s="20"/>
      <c r="C22" s="20"/>
      <c r="D22" s="43"/>
      <c r="E22" s="53"/>
      <c r="F22" s="34"/>
      <c r="G22" s="33"/>
      <c r="H22" s="54"/>
      <c r="I22" s="53"/>
      <c r="J22" s="33"/>
      <c r="K22" s="22"/>
      <c r="L22" s="53"/>
      <c r="M22" s="33"/>
      <c r="N22" s="22"/>
      <c r="O22" s="53"/>
      <c r="P22" s="33"/>
      <c r="Q22" s="22"/>
      <c r="R22" s="53"/>
      <c r="S22" s="33"/>
      <c r="T22" s="22" t="str">
        <f t="shared" si="0"/>
        <v/>
      </c>
    </row>
    <row r="23" spans="1:20" ht="15" customHeight="1" x14ac:dyDescent="0.3">
      <c r="A23" s="116" t="s">
        <v>5</v>
      </c>
      <c r="B23" s="23"/>
      <c r="C23" s="23"/>
      <c r="D23" s="44"/>
      <c r="E23" s="55"/>
      <c r="F23" s="32"/>
      <c r="G23" s="35"/>
      <c r="H23" s="52"/>
      <c r="I23" s="55"/>
      <c r="J23" s="35"/>
      <c r="K23" s="24"/>
      <c r="L23" s="55"/>
      <c r="M23" s="35"/>
      <c r="N23" s="24"/>
      <c r="O23" s="55"/>
      <c r="P23" s="35"/>
      <c r="Q23" s="24"/>
      <c r="R23" s="55"/>
      <c r="S23" s="35"/>
      <c r="T23" s="24" t="str">
        <f t="shared" si="0"/>
        <v/>
      </c>
    </row>
    <row r="24" spans="1:20" ht="15" customHeight="1" x14ac:dyDescent="0.3">
      <c r="A24" s="117"/>
      <c r="B24" s="11"/>
      <c r="C24" s="11"/>
      <c r="D24" s="45"/>
      <c r="E24" s="56"/>
      <c r="F24" s="37"/>
      <c r="G24" s="36"/>
      <c r="H24" s="57"/>
      <c r="I24" s="56"/>
      <c r="J24" s="36"/>
      <c r="K24" s="25"/>
      <c r="L24" s="56"/>
      <c r="M24" s="36"/>
      <c r="N24" s="25"/>
      <c r="O24" s="56"/>
      <c r="P24" s="36"/>
      <c r="Q24" s="25"/>
      <c r="R24" s="56"/>
      <c r="S24" s="36"/>
      <c r="T24" s="25" t="str">
        <f t="shared" si="0"/>
        <v/>
      </c>
    </row>
    <row r="25" spans="1:20" ht="15" customHeight="1" x14ac:dyDescent="0.3">
      <c r="A25" s="117"/>
      <c r="B25" s="11"/>
      <c r="C25" s="11"/>
      <c r="D25" s="45"/>
      <c r="E25" s="56"/>
      <c r="F25" s="37"/>
      <c r="G25" s="36"/>
      <c r="H25" s="57"/>
      <c r="I25" s="56"/>
      <c r="J25" s="36"/>
      <c r="K25" s="25"/>
      <c r="L25" s="56"/>
      <c r="M25" s="36"/>
      <c r="N25" s="25"/>
      <c r="O25" s="56"/>
      <c r="P25" s="36"/>
      <c r="Q25" s="25"/>
      <c r="R25" s="56"/>
      <c r="S25" s="36"/>
      <c r="T25" s="25" t="str">
        <f t="shared" si="0"/>
        <v/>
      </c>
    </row>
    <row r="26" spans="1:20" ht="15" customHeight="1" x14ac:dyDescent="0.3">
      <c r="A26" s="117"/>
      <c r="B26" s="11"/>
      <c r="C26" s="11"/>
      <c r="D26" s="45"/>
      <c r="E26" s="56"/>
      <c r="F26" s="37"/>
      <c r="G26" s="36"/>
      <c r="H26" s="57"/>
      <c r="I26" s="56"/>
      <c r="J26" s="36"/>
      <c r="K26" s="25"/>
      <c r="L26" s="56"/>
      <c r="M26" s="36"/>
      <c r="N26" s="25"/>
      <c r="O26" s="56"/>
      <c r="P26" s="36"/>
      <c r="Q26" s="25"/>
      <c r="R26" s="56"/>
      <c r="S26" s="36"/>
      <c r="T26" s="25" t="str">
        <f t="shared" si="0"/>
        <v/>
      </c>
    </row>
    <row r="27" spans="1:20" ht="15" customHeight="1" x14ac:dyDescent="0.3">
      <c r="A27" s="117"/>
      <c r="B27" s="11"/>
      <c r="C27" s="11"/>
      <c r="D27" s="45"/>
      <c r="E27" s="56"/>
      <c r="F27" s="37"/>
      <c r="G27" s="36"/>
      <c r="H27" s="57"/>
      <c r="I27" s="56"/>
      <c r="J27" s="36"/>
      <c r="K27" s="25"/>
      <c r="L27" s="56"/>
      <c r="M27" s="36"/>
      <c r="N27" s="25"/>
      <c r="O27" s="56"/>
      <c r="P27" s="36"/>
      <c r="Q27" s="25"/>
      <c r="R27" s="56"/>
      <c r="S27" s="36"/>
      <c r="T27" s="25" t="str">
        <f t="shared" si="0"/>
        <v/>
      </c>
    </row>
    <row r="28" spans="1:20" ht="15" customHeight="1" thickBot="1" x14ac:dyDescent="0.35">
      <c r="A28" s="118"/>
      <c r="B28" s="27"/>
      <c r="C28" s="27"/>
      <c r="D28" s="46"/>
      <c r="E28" s="58"/>
      <c r="F28" s="34"/>
      <c r="G28" s="38"/>
      <c r="H28" s="54"/>
      <c r="I28" s="58"/>
      <c r="J28" s="38"/>
      <c r="K28" s="28"/>
      <c r="L28" s="58"/>
      <c r="M28" s="38"/>
      <c r="N28" s="28"/>
      <c r="O28" s="58"/>
      <c r="P28" s="38"/>
      <c r="Q28" s="28"/>
      <c r="R28" s="58"/>
      <c r="S28" s="38"/>
      <c r="T28" s="28" t="str">
        <f t="shared" si="0"/>
        <v/>
      </c>
    </row>
    <row r="29" spans="1:20" ht="15" customHeight="1" x14ac:dyDescent="0.3">
      <c r="A29" s="114" t="s">
        <v>6</v>
      </c>
      <c r="B29" s="17"/>
      <c r="C29" s="17"/>
      <c r="D29" s="42"/>
      <c r="E29" s="51"/>
      <c r="F29" s="32"/>
      <c r="G29" s="31"/>
      <c r="H29" s="52"/>
      <c r="I29" s="51"/>
      <c r="J29" s="31"/>
      <c r="K29" s="19"/>
      <c r="L29" s="51"/>
      <c r="M29" s="31"/>
      <c r="N29" s="19"/>
      <c r="O29" s="51"/>
      <c r="P29" s="31"/>
      <c r="Q29" s="19"/>
      <c r="R29" s="51"/>
      <c r="S29" s="31"/>
      <c r="T29" s="19" t="str">
        <f t="shared" si="0"/>
        <v/>
      </c>
    </row>
    <row r="30" spans="1:20" ht="15" customHeight="1" x14ac:dyDescent="0.3">
      <c r="A30" s="119"/>
      <c r="B30" s="8"/>
      <c r="C30" s="8"/>
      <c r="D30" s="47"/>
      <c r="E30" s="59"/>
      <c r="F30" s="37"/>
      <c r="G30" s="39"/>
      <c r="H30" s="57"/>
      <c r="I30" s="59"/>
      <c r="J30" s="39"/>
      <c r="K30" s="29"/>
      <c r="L30" s="59"/>
      <c r="M30" s="39"/>
      <c r="N30" s="29"/>
      <c r="O30" s="59"/>
      <c r="P30" s="39"/>
      <c r="Q30" s="29"/>
      <c r="R30" s="59"/>
      <c r="S30" s="39"/>
      <c r="T30" s="29" t="str">
        <f t="shared" si="0"/>
        <v/>
      </c>
    </row>
    <row r="31" spans="1:20" ht="15" customHeight="1" x14ac:dyDescent="0.3">
      <c r="A31" s="119"/>
      <c r="B31" s="8"/>
      <c r="C31" s="8"/>
      <c r="D31" s="47"/>
      <c r="E31" s="59"/>
      <c r="F31" s="37"/>
      <c r="G31" s="39"/>
      <c r="H31" s="57"/>
      <c r="I31" s="59"/>
      <c r="J31" s="39"/>
      <c r="K31" s="29"/>
      <c r="L31" s="59"/>
      <c r="M31" s="39"/>
      <c r="N31" s="29"/>
      <c r="O31" s="59"/>
      <c r="P31" s="39"/>
      <c r="Q31" s="29"/>
      <c r="R31" s="59"/>
      <c r="S31" s="39"/>
      <c r="T31" s="29" t="str">
        <f t="shared" si="0"/>
        <v/>
      </c>
    </row>
    <row r="32" spans="1:20" ht="15" customHeight="1" x14ac:dyDescent="0.3">
      <c r="A32" s="119"/>
      <c r="B32" s="8"/>
      <c r="C32" s="8"/>
      <c r="D32" s="47"/>
      <c r="E32" s="59"/>
      <c r="F32" s="37"/>
      <c r="G32" s="39"/>
      <c r="H32" s="57"/>
      <c r="I32" s="59"/>
      <c r="J32" s="39"/>
      <c r="K32" s="29"/>
      <c r="L32" s="59"/>
      <c r="M32" s="39"/>
      <c r="N32" s="29"/>
      <c r="O32" s="59"/>
      <c r="P32" s="39"/>
      <c r="Q32" s="29"/>
      <c r="R32" s="59"/>
      <c r="S32" s="39"/>
      <c r="T32" s="29" t="str">
        <f t="shared" si="0"/>
        <v/>
      </c>
    </row>
    <row r="33" spans="1:20" ht="15" customHeight="1" thickBot="1" x14ac:dyDescent="0.35">
      <c r="A33" s="115"/>
      <c r="B33" s="20"/>
      <c r="C33" s="20"/>
      <c r="D33" s="43"/>
      <c r="E33" s="53"/>
      <c r="F33" s="34"/>
      <c r="G33" s="33"/>
      <c r="H33" s="54"/>
      <c r="I33" s="53"/>
      <c r="J33" s="33"/>
      <c r="K33" s="22"/>
      <c r="L33" s="53"/>
      <c r="M33" s="33"/>
      <c r="N33" s="22"/>
      <c r="O33" s="53"/>
      <c r="P33" s="33"/>
      <c r="Q33" s="22"/>
      <c r="R33" s="53"/>
      <c r="S33" s="33"/>
      <c r="T33" s="22" t="str">
        <f t="shared" si="0"/>
        <v/>
      </c>
    </row>
    <row r="34" spans="1:20" ht="15" customHeight="1" x14ac:dyDescent="0.3">
      <c r="B34" s="6" t="s">
        <v>53</v>
      </c>
      <c r="G34" s="40">
        <f>SUM(G5:G33)</f>
        <v>0</v>
      </c>
      <c r="I34" s="40">
        <f>SUM(I5:I33)</f>
        <v>0</v>
      </c>
      <c r="J34" s="40">
        <f>SUM(J5:J33)</f>
        <v>0</v>
      </c>
      <c r="L34" s="40">
        <f>SUM(L5:L33)</f>
        <v>0</v>
      </c>
      <c r="M34" s="40">
        <f>SUM(M5:M33)</f>
        <v>0</v>
      </c>
      <c r="O34" s="40">
        <f>SUM(O5:O33)</f>
        <v>0</v>
      </c>
      <c r="P34" s="40">
        <f>SUM(P5:P33)</f>
        <v>0</v>
      </c>
      <c r="R34" s="40">
        <f>SUM(R5:R33)</f>
        <v>0</v>
      </c>
      <c r="S34" s="40">
        <f>SUM(S5:S33)</f>
        <v>0</v>
      </c>
    </row>
  </sheetData>
  <autoFilter ref="A4:T34" xr:uid="{00000000-0001-0000-0700-000000000000}"/>
  <mergeCells count="5">
    <mergeCell ref="A9:A14"/>
    <mergeCell ref="A15:A22"/>
    <mergeCell ref="A23:A28"/>
    <mergeCell ref="A29:A33"/>
    <mergeCell ref="A5:A8"/>
  </mergeCells>
  <conditionalFormatting sqref="H5:H33">
    <cfRule type="cellIs" dxfId="14" priority="2" operator="equal">
      <formula>1</formula>
    </cfRule>
    <cfRule type="cellIs" dxfId="13" priority="3" operator="lessThan">
      <formula>1</formula>
    </cfRule>
    <cfRule type="cellIs" dxfId="12" priority="4" operator="greaterThan">
      <formula>1</formula>
    </cfRule>
  </conditionalFormatting>
  <conditionalFormatting sqref="K5:K33">
    <cfRule type="cellIs" dxfId="11" priority="5" operator="equal">
      <formula>1</formula>
    </cfRule>
    <cfRule type="cellIs" dxfId="10" priority="6" operator="lessThan">
      <formula>1</formula>
    </cfRule>
    <cfRule type="cellIs" dxfId="9" priority="7" operator="greaterThan">
      <formula>1</formula>
    </cfRule>
  </conditionalFormatting>
  <conditionalFormatting sqref="N5:N33">
    <cfRule type="cellIs" dxfId="8" priority="8" operator="equal">
      <formula>1</formula>
    </cfRule>
    <cfRule type="cellIs" dxfId="7" priority="9" operator="lessThan">
      <formula>1</formula>
    </cfRule>
    <cfRule type="cellIs" dxfId="6" priority="10" operator="greaterThan">
      <formula>1</formula>
    </cfRule>
  </conditionalFormatting>
  <conditionalFormatting sqref="Q5:Q33">
    <cfRule type="cellIs" dxfId="5" priority="11" operator="equal">
      <formula>1</formula>
    </cfRule>
    <cfRule type="cellIs" dxfId="4" priority="12" operator="lessThan">
      <formula>1</formula>
    </cfRule>
    <cfRule type="cellIs" dxfId="3" priority="13" operator="greaterThan">
      <formula>1</formula>
    </cfRule>
  </conditionalFormatting>
  <conditionalFormatting sqref="T5:T33">
    <cfRule type="cellIs" dxfId="2" priority="14" operator="equal">
      <formula>1</formula>
    </cfRule>
    <cfRule type="cellIs" dxfId="1" priority="15" operator="lessThan">
      <formula>1</formula>
    </cfRule>
    <cfRule type="cellIs" dxfId="0" priority="16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"/>
  <sheetViews>
    <sheetView showGridLines="0"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H23" sqref="H23"/>
    </sheetView>
  </sheetViews>
  <sheetFormatPr defaultColWidth="8.6640625" defaultRowHeight="14.4" x14ac:dyDescent="0.3"/>
  <cols>
    <col min="1" max="1" width="10" customWidth="1"/>
    <col min="2" max="2" width="8" customWidth="1"/>
    <col min="3" max="3" width="14" customWidth="1"/>
    <col min="4" max="4" width="11" customWidth="1"/>
    <col min="5" max="5" width="14" customWidth="1"/>
    <col min="6" max="15" width="13" customWidth="1"/>
  </cols>
  <sheetData>
    <row r="1" spans="1:15" ht="15.75" customHeight="1" x14ac:dyDescent="0.3">
      <c r="A1" s="3" t="s">
        <v>96</v>
      </c>
    </row>
    <row r="2" spans="1:15" ht="15" customHeight="1" x14ac:dyDescent="0.3">
      <c r="A2" s="2" t="s">
        <v>97</v>
      </c>
    </row>
    <row r="4" spans="1:15" ht="23.2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98</v>
      </c>
      <c r="F4" s="14" t="s">
        <v>99</v>
      </c>
      <c r="G4" s="14" t="s">
        <v>100</v>
      </c>
      <c r="H4" s="14" t="s">
        <v>101</v>
      </c>
      <c r="I4" s="14" t="s">
        <v>102</v>
      </c>
      <c r="J4" s="14" t="s">
        <v>103</v>
      </c>
      <c r="K4" s="14" t="s">
        <v>104</v>
      </c>
      <c r="L4" s="14" t="s">
        <v>105</v>
      </c>
      <c r="M4" s="14" t="s">
        <v>106</v>
      </c>
      <c r="N4" s="14" t="s">
        <v>107</v>
      </c>
      <c r="O4" s="14" t="s">
        <v>108</v>
      </c>
    </row>
    <row r="5" spans="1:15" ht="15" customHeight="1" x14ac:dyDescent="0.3">
      <c r="A5" s="8" t="s">
        <v>8</v>
      </c>
      <c r="B5" s="8" t="s">
        <v>14</v>
      </c>
      <c r="C5" s="8" t="s">
        <v>49</v>
      </c>
      <c r="D5" s="9" t="e">
        <f>_xlfn.MAXIFS(#REF!,#REF!,$B5,#REF!,LEFT($C5,FIND(" ",$C5)-1),#REF!,MID($C5,FIND(" ",$C5)+1,20))</f>
        <v>#REF!</v>
      </c>
      <c r="E5" s="15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15" customHeight="1" x14ac:dyDescent="0.3">
      <c r="A6" s="8" t="s">
        <v>8</v>
      </c>
      <c r="B6" s="8" t="s">
        <v>12</v>
      </c>
      <c r="C6" s="8" t="s">
        <v>50</v>
      </c>
      <c r="D6" s="9" t="e">
        <f>_xlfn.MAXIFS(#REF!,#REF!,$B6,#REF!,LEFT($C6,FIND(" ",$C6)-1),#REF!,MID($C6,FIND(" ",$C6)+1,20))</f>
        <v>#REF!</v>
      </c>
      <c r="E6" s="15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ht="15" customHeight="1" x14ac:dyDescent="0.3">
      <c r="A7" s="8" t="s">
        <v>8</v>
      </c>
      <c r="B7" s="8" t="s">
        <v>15</v>
      </c>
      <c r="C7" s="8" t="s">
        <v>51</v>
      </c>
      <c r="D7" s="9" t="e">
        <f>_xlfn.MAXIFS(#REF!,#REF!,$B7,#REF!,LEFT($C7,FIND(" ",$C7)-1),#REF!,MID($C7,FIND(" ",$C7)+1,20))</f>
        <v>#REF!</v>
      </c>
      <c r="E7" s="15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ht="15" customHeight="1" x14ac:dyDescent="0.3">
      <c r="B8" s="6" t="s">
        <v>33</v>
      </c>
      <c r="E8" s="13">
        <f t="shared" ref="E8:O8" si="0">SUM(E5:E7)</f>
        <v>0</v>
      </c>
      <c r="F8" s="13">
        <f t="shared" si="0"/>
        <v>0</v>
      </c>
      <c r="G8" s="13">
        <f t="shared" si="0"/>
        <v>0</v>
      </c>
      <c r="H8" s="13">
        <f t="shared" si="0"/>
        <v>0</v>
      </c>
      <c r="I8" s="13">
        <f t="shared" si="0"/>
        <v>0</v>
      </c>
      <c r="J8" s="13">
        <f t="shared" si="0"/>
        <v>0</v>
      </c>
      <c r="K8" s="13">
        <f t="shared" si="0"/>
        <v>0</v>
      </c>
      <c r="L8" s="13">
        <f t="shared" si="0"/>
        <v>0</v>
      </c>
      <c r="M8" s="13">
        <f t="shared" si="0"/>
        <v>0</v>
      </c>
      <c r="N8" s="13">
        <f t="shared" si="0"/>
        <v>0</v>
      </c>
      <c r="O8" s="13">
        <f t="shared" si="0"/>
        <v>0</v>
      </c>
    </row>
  </sheetData>
  <autoFilter ref="A4:O7" xr:uid="{00000000-0009-0000-0000-000009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BSA</vt:lpstr>
      <vt:lpstr>Weekly Summary by Lane</vt:lpstr>
      <vt:lpstr>POD - VNSGN</vt:lpstr>
      <vt:lpstr>POD - HKG,CNXMN,CNSHK,TWKEL</vt:lpstr>
      <vt:lpstr>POD - CNSHA</vt:lpstr>
      <vt:lpstr>POD - IDJKT</vt:lpstr>
      <vt:lpstr>POD - TOTAL,KR,JP,RU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office8</cp:lastModifiedBy>
  <cp:revision>1</cp:revision>
  <dcterms:created xsi:type="dcterms:W3CDTF">2026-08-31T09:04:47Z</dcterms:created>
  <dcterms:modified xsi:type="dcterms:W3CDTF">2026-09-17T03:10:06Z</dcterms:modified>
  <dc:language>en-US</dc:language>
</cp:coreProperties>
</file>